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Analysis" sheetId="2" state="visible" r:id="rId4"/>
    <sheet name="Summary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<sst xmlns="http://schemas.openxmlformats.org/spreadsheetml/2006/main" count="449" uniqueCount="44">
  <si>
    <t xml:space="preserve">Program Budget vs. Actual — Raw Data (FY2025)</t>
  </si>
  <si>
    <t xml:space="preserve">Source: monthly finance ledger export. All figures in USD. Blue text = source input; grey italic = helper formula.</t>
  </si>
  <si>
    <t xml:space="preserve">Month</t>
  </si>
  <si>
    <t xml:space="preserve">Month #</t>
  </si>
  <si>
    <t xml:space="preserve">Program Category</t>
  </si>
  <si>
    <t xml:space="preserve">Budget (USD)</t>
  </si>
  <si>
    <t xml:space="preserve">Actual (USD)</t>
  </si>
  <si>
    <t xml:space="preserve">Lookup Key</t>
  </si>
  <si>
    <t xml:space="preserve">Category Budget Reference (VLOOKUP source)</t>
  </si>
  <si>
    <t xml:space="preserve">Jan-2025</t>
  </si>
  <si>
    <t xml:space="preserve">Health Outreach</t>
  </si>
  <si>
    <t xml:space="preserve">Monthly Budget (USD)</t>
  </si>
  <si>
    <t xml:space="preserve">Feb-2025</t>
  </si>
  <si>
    <t xml:space="preserve">Mar-2025</t>
  </si>
  <si>
    <t xml:space="preserve">WASH (Water, Sanitation &amp; Hygiene)</t>
  </si>
  <si>
    <t xml:space="preserve">Apr-2025</t>
  </si>
  <si>
    <t xml:space="preserve">Education &amp; Training</t>
  </si>
  <si>
    <t xml:space="preserve">May-2025</t>
  </si>
  <si>
    <t xml:space="preserve">Livelihoods &amp; Financial Inclusion</t>
  </si>
  <si>
    <t xml:space="preserve">Jun-2025</t>
  </si>
  <si>
    <t xml:space="preserve">Monitoring &amp; Evaluation</t>
  </si>
  <si>
    <t xml:space="preserve">Jul-2025</t>
  </si>
  <si>
    <t xml:space="preserve">Emergency Response</t>
  </si>
  <si>
    <t xml:space="preserve">Aug-2025</t>
  </si>
  <si>
    <t xml:space="preserve">Community Mobilization</t>
  </si>
  <si>
    <t xml:space="preserve">Sep-2025</t>
  </si>
  <si>
    <t xml:space="preserve">Admin &amp; Operations</t>
  </si>
  <si>
    <t xml:space="preserve">Oct-2025</t>
  </si>
  <si>
    <t xml:space="preserve">Nov-2025</t>
  </si>
  <si>
    <t xml:space="preserve">Dec-2025</t>
  </si>
  <si>
    <t xml:space="preserve">Note: 'Lookup Key' (col F) = Month &amp; Category, used by the Analysis tab's INDEX/MATCH lookup. Generated, not a source input — do not hand-edit.</t>
  </si>
  <si>
    <t xml:space="preserve">Variance Analysis — Budget vs. Actual by Category &amp; Month</t>
  </si>
  <si>
    <t xml:space="preserve">Budget pulled via VLOOKUP against the Category Budget Reference table; Actual pulled via INDEX/MATCH against Raw Data's Month+Category key. Flags trigger at ±5% variance.</t>
  </si>
  <si>
    <t xml:space="preserve">Variance ($)</t>
  </si>
  <si>
    <t xml:space="preserve">Variance (%)</t>
  </si>
  <si>
    <t xml:space="preserve">Status</t>
  </si>
  <si>
    <t xml:space="preserve">Flag</t>
  </si>
  <si>
    <t xml:space="preserve">FY2025 Budget Performance — Summary Dashboard</t>
  </si>
  <si>
    <t xml:space="preserve">Pivot-style rollup of the Analysis tab via SUMIFS, aggregated by Program Category across all 12 months. A native Excel PivotTable can also be inserted directly from the 'RawData' table (see project guide).</t>
  </si>
  <si>
    <t xml:space="preserve">Annual Summary by Program Category</t>
  </si>
  <si>
    <t xml:space="preserve">Total Budget (USD)</t>
  </si>
  <si>
    <t xml:space="preserve">Total Actual (USD)</t>
  </si>
  <si>
    <t xml:space="preserve">GRAND TOTAL</t>
  </si>
  <si>
    <t xml:space="preserve">Monthly Trend — All Programs Combined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</si>
</sst>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8BCA7E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5E9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7C6E"/>
          <bgColor rgb="FF000000"/>
        </patternFill>
      </fill>
    </dxf>
    <dxf>
      <fill>
        <patternFill patternType="solid">
          <fgColor rgb="FFF98871"/>
          <bgColor rgb="FF000000"/>
        </patternFill>
      </fill>
    </dxf>
    <dxf>
      <fill>
        <patternFill patternType="solid">
          <fgColor rgb="FFF98C71"/>
          <bgColor rgb="FF000000"/>
        </patternFill>
      </fill>
    </dxf>
    <dxf>
      <fill>
        <patternFill patternType="solid">
          <fgColor rgb="FFF98D72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9272"/>
          <bgColor rgb="FF000000"/>
        </patternFill>
      </fill>
    </dxf>
    <dxf>
      <fill>
        <patternFill patternType="solid">
          <fgColor rgb="FFFA9773"/>
          <bgColor rgb="FF000000"/>
        </patternFill>
      </fill>
    </dxf>
    <dxf>
      <fill>
        <patternFill patternType="solid">
          <fgColor rgb="FFFA9874"/>
          <bgColor rgb="FF000000"/>
        </patternFill>
      </fill>
    </dxf>
    <dxf>
      <fill>
        <patternFill patternType="solid">
          <fgColor rgb="FFFA9974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AA075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175"/>
          <bgColor rgb="FF000000"/>
        </patternFill>
      </fill>
    </dxf>
    <dxf>
      <fill>
        <patternFill patternType="solid">
          <fgColor rgb="FFFBA476"/>
          <bgColor rgb="FF000000"/>
        </patternFill>
      </fill>
    </dxf>
    <dxf>
      <fill>
        <patternFill patternType="solid">
          <fgColor rgb="FFFBA977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BAF78"/>
          <bgColor rgb="FF000000"/>
        </patternFill>
      </fill>
    </dxf>
    <dxf>
      <fill>
        <patternFill patternType="solid">
          <fgColor rgb="FFFBB178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479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CBC7B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C17B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D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ED880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C0504D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Budget vs. Actual (All Programs)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Dashboard'!B18</c:f>
              <c:strCache>
                <c:ptCount val="1"/>
                <c:pt idx="0">
                  <c:v>Total Budget (USD)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Dashboard'!$A$19:$A$30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'Summary Dashboard'!$B$19:$B$30</c:f>
              <c:numCache>
                <c:formatCode>\$#,##0</c:formatCode>
                <c:ptCount val="12"/>
                <c:pt idx="0">
                  <c:v>70000</c:v>
                </c:pt>
                <c:pt idx="1">
                  <c:v>70000</c:v>
                </c:pt>
                <c:pt idx="2">
                  <c:v>70000</c:v>
                </c:pt>
                <c:pt idx="3">
                  <c:v>70000</c:v>
                </c:pt>
                <c:pt idx="4">
                  <c:v>70000</c:v>
                </c:pt>
                <c:pt idx="5">
                  <c:v>70000</c:v>
                </c:pt>
                <c:pt idx="6">
                  <c:v>70000</c:v>
                </c:pt>
                <c:pt idx="7">
                  <c:v>70000</c:v>
                </c:pt>
                <c:pt idx="8">
                  <c:v>70000</c:v>
                </c:pt>
                <c:pt idx="9">
                  <c:v>70000</c:v>
                </c:pt>
                <c:pt idx="10">
                  <c:v>70000</c:v>
                </c:pt>
                <c:pt idx="11">
                  <c:v>70000</c:v>
                </c:pt>
              </c:numCache>
            </c:numRef>
          </c:val>
        </c:ser>
        <c:ser>
          <c:idx val="1"/>
          <c:order val="1"/>
          <c:tx>
            <c:strRef>
              <c:f>'Summary Dashboard'!C18</c:f>
              <c:strCache>
                <c:ptCount val="1"/>
                <c:pt idx="0">
                  <c:v>Total Actual (USD)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Dashboard'!$A$19:$A$30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'Summary Dashboard'!$C$19:$C$30</c:f>
              <c:numCache>
                <c:formatCode>\$#,##0</c:formatCode>
                <c:ptCount val="12"/>
                <c:pt idx="0">
                  <c:v>68510</c:v>
                </c:pt>
                <c:pt idx="1">
                  <c:v>68830</c:v>
                </c:pt>
                <c:pt idx="2">
                  <c:v>70640</c:v>
                </c:pt>
                <c:pt idx="3">
                  <c:v>73410</c:v>
                </c:pt>
                <c:pt idx="4">
                  <c:v>73940</c:v>
                </c:pt>
                <c:pt idx="5">
                  <c:v>70360</c:v>
                </c:pt>
                <c:pt idx="6">
                  <c:v>68890</c:v>
                </c:pt>
                <c:pt idx="7">
                  <c:v>73270</c:v>
                </c:pt>
                <c:pt idx="8">
                  <c:v>71710</c:v>
                </c:pt>
                <c:pt idx="9">
                  <c:v>70250</c:v>
                </c:pt>
                <c:pt idx="10">
                  <c:v>69550</c:v>
                </c:pt>
                <c:pt idx="11">
                  <c:v>71640</c:v>
                </c:pt>
              </c:numCache>
            </c:numRef>
          </c:val>
        </c:ser>
        <c:gapWidth val="150"/>
        <c:overlap val="0"/>
        <c:axId val="11490572"/>
        <c:axId val="26012488"/>
      </c:barChart>
      <c:catAx>
        <c:axId val="114905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12488"/>
        <c:crosses val="autoZero"/>
        <c:auto val="1"/>
        <c:lblAlgn val="ctr"/>
        <c:lblOffset val="100"/>
        <c:noMultiLvlLbl val="0"/>
      </c:catAx>
      <c:valAx>
        <c:axId val="260124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905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15</xdr:row>
      <xdr:rowOff>131040</xdr:rowOff>
    </xdr:from>
    <xdr:to>
      <xdr:col>15</xdr:col>
      <xdr:colOff>442800</xdr:colOff>
      <xdr:row>34</xdr:row>
      <xdr:rowOff>111240</xdr:rowOff>
    </xdr:to>
    <xdr:graphicFrame>
      <xdr:nvGraphicFramePr>
        <xdr:cNvPr id="0" name="Chart 1"/>
        <xdr:cNvGraphicFramePr/>
      </xdr:nvGraphicFramePr>
      <xdr:xfrm>
        <a:off x="5920920" y="304812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nalysis" displayName="Analysis" ref="A4:I100" headerRowCount="1" totalsRowCount="0" totalsRowShown="0">
  <autoFilter ref="A4:I100"/>
  <tableColumns count="9">
    <tableColumn id="1" name="Month"/>
    <tableColumn id="2" name="Program Category"/>
    <tableColumn id="3" name="Lookup Key"/>
    <tableColumn id="4" name="Budget (USD)"/>
    <tableColumn id="5" name="Actual (USD)"/>
    <tableColumn id="6" name="Variance ($)"/>
    <tableColumn id="7" name="Variance (%)"/>
    <tableColumn id="8" name="Status"/>
    <tableColumn id="9" name="Flag"/>
  </tableColumns>
</table>
</file>

<file path=xl/tables/table2.xml><?xml version="1.0" encoding="utf-8"?>
<table xmlns="http://schemas.openxmlformats.org/spreadsheetml/2006/main" id="2" name="RawData" displayName="RawData" ref="A4:F100" headerRowCount="1" totalsRowCount="0" totalsRowShown="0">
  <autoFilter ref="A4:F100"/>
  <tableColumns count="6">
    <tableColumn id="1" name="Month"/>
    <tableColumn id="2" name="Month #"/>
    <tableColumn id="3" name="Program Category"/>
    <tableColumn id="4" name="Budget (USD)"/>
    <tableColumn id="5" name="Actual (USD)"/>
    <tableColumn id="6" name="Lookup Ke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5" min="4" style="0" width="15"/>
    <col collapsed="false" customWidth="true" hidden="false" outlineLevel="0" max="6" min="6" style="0" width="24"/>
    <col collapsed="false" customWidth="true" hidden="false" outlineLevel="0" max="8" min="8" style="0" width="34"/>
    <col collapsed="false" customWidth="true" hidden="false" outlineLevel="0" max="9" min="9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4" t="s">
        <v>8</v>
      </c>
    </row>
    <row r="5" customFormat="false" ht="15" hidden="false" customHeight="false" outlineLevel="0" collapsed="false">
      <c r="A5" s="5" t="s">
        <v>9</v>
      </c>
      <c r="B5" s="6" t="n">
        <v>1</v>
      </c>
      <c r="C5" s="5" t="s">
        <v>10</v>
      </c>
      <c r="D5" s="7" t="n">
        <v>15000</v>
      </c>
      <c r="E5" s="7" t="n">
        <v>16280</v>
      </c>
      <c r="F5" s="8" t="str">
        <f aca="false">A5&amp;"|"&amp;C5</f>
        <v>Jan-2025|Health Outreach</v>
      </c>
      <c r="H5" s="3" t="s">
        <v>4</v>
      </c>
      <c r="I5" s="3" t="s">
        <v>11</v>
      </c>
    </row>
    <row r="6" customFormat="false" ht="15" hidden="false" customHeight="false" outlineLevel="0" collapsed="false">
      <c r="A6" s="5" t="s">
        <v>12</v>
      </c>
      <c r="B6" s="6" t="n">
        <v>2</v>
      </c>
      <c r="C6" s="5" t="s">
        <v>10</v>
      </c>
      <c r="D6" s="7" t="n">
        <v>15000</v>
      </c>
      <c r="E6" s="7" t="n">
        <v>16220</v>
      </c>
      <c r="F6" s="8" t="str">
        <f aca="false">A6&amp;"|"&amp;C6</f>
        <v>Feb-2025|Health Outreach</v>
      </c>
      <c r="H6" s="9" t="s">
        <v>10</v>
      </c>
      <c r="I6" s="10" t="n">
        <v>15000</v>
      </c>
    </row>
    <row r="7" customFormat="false" ht="15" hidden="false" customHeight="false" outlineLevel="0" collapsed="false">
      <c r="A7" s="5" t="s">
        <v>13</v>
      </c>
      <c r="B7" s="6" t="n">
        <v>3</v>
      </c>
      <c r="C7" s="5" t="s">
        <v>10</v>
      </c>
      <c r="D7" s="7" t="n">
        <v>15000</v>
      </c>
      <c r="E7" s="7" t="n">
        <v>16670</v>
      </c>
      <c r="F7" s="8" t="str">
        <f aca="false">A7&amp;"|"&amp;C7</f>
        <v>Mar-2025|Health Outreach</v>
      </c>
      <c r="H7" s="9" t="s">
        <v>14</v>
      </c>
      <c r="I7" s="10" t="n">
        <v>10000</v>
      </c>
    </row>
    <row r="8" customFormat="false" ht="15" hidden="false" customHeight="false" outlineLevel="0" collapsed="false">
      <c r="A8" s="5" t="s">
        <v>15</v>
      </c>
      <c r="B8" s="6" t="n">
        <v>4</v>
      </c>
      <c r="C8" s="5" t="s">
        <v>10</v>
      </c>
      <c r="D8" s="7" t="n">
        <v>15000</v>
      </c>
      <c r="E8" s="7" t="n">
        <v>15580</v>
      </c>
      <c r="F8" s="8" t="str">
        <f aca="false">A8&amp;"|"&amp;C8</f>
        <v>Apr-2025|Health Outreach</v>
      </c>
      <c r="H8" s="9" t="s">
        <v>16</v>
      </c>
      <c r="I8" s="10" t="n">
        <v>9000</v>
      </c>
    </row>
    <row r="9" customFormat="false" ht="15" hidden="false" customHeight="false" outlineLevel="0" collapsed="false">
      <c r="A9" s="5" t="s">
        <v>17</v>
      </c>
      <c r="B9" s="6" t="n">
        <v>5</v>
      </c>
      <c r="C9" s="5" t="s">
        <v>10</v>
      </c>
      <c r="D9" s="7" t="n">
        <v>15000</v>
      </c>
      <c r="E9" s="7" t="n">
        <v>14840</v>
      </c>
      <c r="F9" s="8" t="str">
        <f aca="false">A9&amp;"|"&amp;C9</f>
        <v>May-2025|Health Outreach</v>
      </c>
      <c r="H9" s="9" t="s">
        <v>18</v>
      </c>
      <c r="I9" s="10" t="n">
        <v>11000</v>
      </c>
    </row>
    <row r="10" customFormat="false" ht="15" hidden="false" customHeight="false" outlineLevel="0" collapsed="false">
      <c r="A10" s="5" t="s">
        <v>19</v>
      </c>
      <c r="B10" s="6" t="n">
        <v>6</v>
      </c>
      <c r="C10" s="5" t="s">
        <v>10</v>
      </c>
      <c r="D10" s="7" t="n">
        <v>15000</v>
      </c>
      <c r="E10" s="7" t="n">
        <v>14360</v>
      </c>
      <c r="F10" s="8" t="str">
        <f aca="false">A10&amp;"|"&amp;C10</f>
        <v>Jun-2025|Health Outreach</v>
      </c>
      <c r="H10" s="9" t="s">
        <v>20</v>
      </c>
      <c r="I10" s="10" t="n">
        <v>5000</v>
      </c>
    </row>
    <row r="11" customFormat="false" ht="15" hidden="false" customHeight="false" outlineLevel="0" collapsed="false">
      <c r="A11" s="5" t="s">
        <v>21</v>
      </c>
      <c r="B11" s="6" t="n">
        <v>7</v>
      </c>
      <c r="C11" s="5" t="s">
        <v>10</v>
      </c>
      <c r="D11" s="7" t="n">
        <v>15000</v>
      </c>
      <c r="E11" s="7" t="n">
        <v>14190</v>
      </c>
      <c r="F11" s="8" t="str">
        <f aca="false">A11&amp;"|"&amp;C11</f>
        <v>Jul-2025|Health Outreach</v>
      </c>
      <c r="H11" s="9" t="s">
        <v>22</v>
      </c>
      <c r="I11" s="10" t="n">
        <v>7000</v>
      </c>
    </row>
    <row r="12" customFormat="false" ht="15" hidden="false" customHeight="false" outlineLevel="0" collapsed="false">
      <c r="A12" s="5" t="s">
        <v>23</v>
      </c>
      <c r="B12" s="6" t="n">
        <v>8</v>
      </c>
      <c r="C12" s="5" t="s">
        <v>10</v>
      </c>
      <c r="D12" s="7" t="n">
        <v>15000</v>
      </c>
      <c r="E12" s="7" t="n">
        <v>13850</v>
      </c>
      <c r="F12" s="8" t="str">
        <f aca="false">A12&amp;"|"&amp;C12</f>
        <v>Aug-2025|Health Outreach</v>
      </c>
      <c r="H12" s="9" t="s">
        <v>24</v>
      </c>
      <c r="I12" s="10" t="n">
        <v>6000</v>
      </c>
    </row>
    <row r="13" customFormat="false" ht="15" hidden="false" customHeight="false" outlineLevel="0" collapsed="false">
      <c r="A13" s="5" t="s">
        <v>25</v>
      </c>
      <c r="B13" s="6" t="n">
        <v>9</v>
      </c>
      <c r="C13" s="5" t="s">
        <v>10</v>
      </c>
      <c r="D13" s="7" t="n">
        <v>15000</v>
      </c>
      <c r="E13" s="7" t="n">
        <v>14350</v>
      </c>
      <c r="F13" s="8" t="str">
        <f aca="false">A13&amp;"|"&amp;C13</f>
        <v>Sep-2025|Health Outreach</v>
      </c>
      <c r="H13" s="9" t="s">
        <v>26</v>
      </c>
      <c r="I13" s="10" t="n">
        <v>7000</v>
      </c>
    </row>
    <row r="14" customFormat="false" ht="15" hidden="false" customHeight="false" outlineLevel="0" collapsed="false">
      <c r="A14" s="5" t="s">
        <v>27</v>
      </c>
      <c r="B14" s="6" t="n">
        <v>10</v>
      </c>
      <c r="C14" s="5" t="s">
        <v>10</v>
      </c>
      <c r="D14" s="7" t="n">
        <v>15000</v>
      </c>
      <c r="E14" s="7" t="n">
        <v>14570</v>
      </c>
      <c r="F14" s="8" t="str">
        <f aca="false">A14&amp;"|"&amp;C14</f>
        <v>Oct-2025|Health Outreach</v>
      </c>
    </row>
    <row r="15" customFormat="false" ht="15" hidden="false" customHeight="false" outlineLevel="0" collapsed="false">
      <c r="A15" s="5" t="s">
        <v>28</v>
      </c>
      <c r="B15" s="6" t="n">
        <v>11</v>
      </c>
      <c r="C15" s="5" t="s">
        <v>10</v>
      </c>
      <c r="D15" s="7" t="n">
        <v>15000</v>
      </c>
      <c r="E15" s="7" t="n">
        <v>14980</v>
      </c>
      <c r="F15" s="8" t="str">
        <f aca="false">A15&amp;"|"&amp;C15</f>
        <v>Nov-2025|Health Outreach</v>
      </c>
    </row>
    <row r="16" customFormat="false" ht="15" hidden="false" customHeight="false" outlineLevel="0" collapsed="false">
      <c r="A16" s="5" t="s">
        <v>29</v>
      </c>
      <c r="B16" s="6" t="n">
        <v>12</v>
      </c>
      <c r="C16" s="5" t="s">
        <v>10</v>
      </c>
      <c r="D16" s="7" t="n">
        <v>15000</v>
      </c>
      <c r="E16" s="7" t="n">
        <v>15450</v>
      </c>
      <c r="F16" s="8" t="str">
        <f aca="false">A16&amp;"|"&amp;C16</f>
        <v>Dec-2025|Health Outreach</v>
      </c>
    </row>
    <row r="17" customFormat="false" ht="15" hidden="false" customHeight="false" outlineLevel="0" collapsed="false">
      <c r="A17" s="5" t="s">
        <v>9</v>
      </c>
      <c r="B17" s="6" t="n">
        <v>1</v>
      </c>
      <c r="C17" s="5" t="s">
        <v>14</v>
      </c>
      <c r="D17" s="7" t="n">
        <v>10000</v>
      </c>
      <c r="E17" s="7" t="n">
        <v>8810</v>
      </c>
      <c r="F17" s="8" t="str">
        <f aca="false">A17&amp;"|"&amp;C17</f>
        <v>Jan-2025|WASH (Water, Sanitation &amp; Hygiene)</v>
      </c>
    </row>
    <row r="18" customFormat="false" ht="15" hidden="false" customHeight="false" outlineLevel="0" collapsed="false">
      <c r="A18" s="5" t="s">
        <v>12</v>
      </c>
      <c r="B18" s="6" t="n">
        <v>2</v>
      </c>
      <c r="C18" s="5" t="s">
        <v>14</v>
      </c>
      <c r="D18" s="7" t="n">
        <v>10000</v>
      </c>
      <c r="E18" s="7" t="n">
        <v>8680</v>
      </c>
      <c r="F18" s="8" t="str">
        <f aca="false">A18&amp;"|"&amp;C18</f>
        <v>Feb-2025|WASH (Water, Sanitation &amp; Hygiene)</v>
      </c>
    </row>
    <row r="19" customFormat="false" ht="15" hidden="false" customHeight="false" outlineLevel="0" collapsed="false">
      <c r="A19" s="5" t="s">
        <v>13</v>
      </c>
      <c r="B19" s="6" t="n">
        <v>3</v>
      </c>
      <c r="C19" s="5" t="s">
        <v>14</v>
      </c>
      <c r="D19" s="7" t="n">
        <v>10000</v>
      </c>
      <c r="E19" s="7" t="n">
        <v>9160</v>
      </c>
      <c r="F19" s="8" t="str">
        <f aca="false">A19&amp;"|"&amp;C19</f>
        <v>Mar-2025|WASH (Water, Sanitation &amp; Hygiene)</v>
      </c>
    </row>
    <row r="20" customFormat="false" ht="15" hidden="false" customHeight="false" outlineLevel="0" collapsed="false">
      <c r="A20" s="5" t="s">
        <v>15</v>
      </c>
      <c r="B20" s="6" t="n">
        <v>4</v>
      </c>
      <c r="C20" s="5" t="s">
        <v>14</v>
      </c>
      <c r="D20" s="7" t="n">
        <v>10000</v>
      </c>
      <c r="E20" s="7" t="n">
        <v>9320</v>
      </c>
      <c r="F20" s="8" t="str">
        <f aca="false">A20&amp;"|"&amp;C20</f>
        <v>Apr-2025|WASH (Water, Sanitation &amp; Hygiene)</v>
      </c>
    </row>
    <row r="21" customFormat="false" ht="15" hidden="false" customHeight="false" outlineLevel="0" collapsed="false">
      <c r="A21" s="5" t="s">
        <v>17</v>
      </c>
      <c r="B21" s="6" t="n">
        <v>5</v>
      </c>
      <c r="C21" s="5" t="s">
        <v>14</v>
      </c>
      <c r="D21" s="7" t="n">
        <v>10000</v>
      </c>
      <c r="E21" s="7" t="n">
        <v>8790</v>
      </c>
      <c r="F21" s="8" t="str">
        <f aca="false">A21&amp;"|"&amp;C21</f>
        <v>May-2025|WASH (Water, Sanitation &amp; Hygiene)</v>
      </c>
    </row>
    <row r="22" customFormat="false" ht="15" hidden="false" customHeight="false" outlineLevel="0" collapsed="false">
      <c r="A22" s="5" t="s">
        <v>19</v>
      </c>
      <c r="B22" s="6" t="n">
        <v>6</v>
      </c>
      <c r="C22" s="5" t="s">
        <v>14</v>
      </c>
      <c r="D22" s="7" t="n">
        <v>10000</v>
      </c>
      <c r="E22" s="7" t="n">
        <v>9240</v>
      </c>
      <c r="F22" s="8" t="str">
        <f aca="false">A22&amp;"|"&amp;C22</f>
        <v>Jun-2025|WASH (Water, Sanitation &amp; Hygiene)</v>
      </c>
    </row>
    <row r="23" customFormat="false" ht="15" hidden="false" customHeight="false" outlineLevel="0" collapsed="false">
      <c r="A23" s="5" t="s">
        <v>21</v>
      </c>
      <c r="B23" s="6" t="n">
        <v>7</v>
      </c>
      <c r="C23" s="5" t="s">
        <v>14</v>
      </c>
      <c r="D23" s="7" t="n">
        <v>10000</v>
      </c>
      <c r="E23" s="7" t="n">
        <v>9120</v>
      </c>
      <c r="F23" s="8" t="str">
        <f aca="false">A23&amp;"|"&amp;C23</f>
        <v>Jul-2025|WASH (Water, Sanitation &amp; Hygiene)</v>
      </c>
    </row>
    <row r="24" customFormat="false" ht="15" hidden="false" customHeight="false" outlineLevel="0" collapsed="false">
      <c r="A24" s="5" t="s">
        <v>23</v>
      </c>
      <c r="B24" s="6" t="n">
        <v>8</v>
      </c>
      <c r="C24" s="5" t="s">
        <v>14</v>
      </c>
      <c r="D24" s="7" t="n">
        <v>10000</v>
      </c>
      <c r="E24" s="7" t="n">
        <v>9200</v>
      </c>
      <c r="F24" s="8" t="str">
        <f aca="false">A24&amp;"|"&amp;C24</f>
        <v>Aug-2025|WASH (Water, Sanitation &amp; Hygiene)</v>
      </c>
    </row>
    <row r="25" customFormat="false" ht="15" hidden="false" customHeight="false" outlineLevel="0" collapsed="false">
      <c r="A25" s="5" t="s">
        <v>25</v>
      </c>
      <c r="B25" s="6" t="n">
        <v>9</v>
      </c>
      <c r="C25" s="5" t="s">
        <v>14</v>
      </c>
      <c r="D25" s="7" t="n">
        <v>10000</v>
      </c>
      <c r="E25" s="7" t="n">
        <v>9220</v>
      </c>
      <c r="F25" s="8" t="str">
        <f aca="false">A25&amp;"|"&amp;C25</f>
        <v>Sep-2025|WASH (Water, Sanitation &amp; Hygiene)</v>
      </c>
    </row>
    <row r="26" customFormat="false" ht="15" hidden="false" customHeight="false" outlineLevel="0" collapsed="false">
      <c r="A26" s="5" t="s">
        <v>27</v>
      </c>
      <c r="B26" s="6" t="n">
        <v>10</v>
      </c>
      <c r="C26" s="5" t="s">
        <v>14</v>
      </c>
      <c r="D26" s="7" t="n">
        <v>10000</v>
      </c>
      <c r="E26" s="7" t="n">
        <v>9380</v>
      </c>
      <c r="F26" s="8" t="str">
        <f aca="false">A26&amp;"|"&amp;C26</f>
        <v>Oct-2025|WASH (Water, Sanitation &amp; Hygiene)</v>
      </c>
    </row>
    <row r="27" customFormat="false" ht="15" hidden="false" customHeight="false" outlineLevel="0" collapsed="false">
      <c r="A27" s="5" t="s">
        <v>28</v>
      </c>
      <c r="B27" s="6" t="n">
        <v>11</v>
      </c>
      <c r="C27" s="5" t="s">
        <v>14</v>
      </c>
      <c r="D27" s="7" t="n">
        <v>10000</v>
      </c>
      <c r="E27" s="7" t="n">
        <v>8940</v>
      </c>
      <c r="F27" s="8" t="str">
        <f aca="false">A27&amp;"|"&amp;C27</f>
        <v>Nov-2025|WASH (Water, Sanitation &amp; Hygiene)</v>
      </c>
    </row>
    <row r="28" customFormat="false" ht="15" hidden="false" customHeight="false" outlineLevel="0" collapsed="false">
      <c r="A28" s="5" t="s">
        <v>29</v>
      </c>
      <c r="B28" s="6" t="n">
        <v>12</v>
      </c>
      <c r="C28" s="5" t="s">
        <v>14</v>
      </c>
      <c r="D28" s="7" t="n">
        <v>10000</v>
      </c>
      <c r="E28" s="7" t="n">
        <v>9060</v>
      </c>
      <c r="F28" s="8" t="str">
        <f aca="false">A28&amp;"|"&amp;C28</f>
        <v>Dec-2025|WASH (Water, Sanitation &amp; Hygiene)</v>
      </c>
    </row>
    <row r="29" customFormat="false" ht="15" hidden="false" customHeight="false" outlineLevel="0" collapsed="false">
      <c r="A29" s="5" t="s">
        <v>9</v>
      </c>
      <c r="B29" s="6" t="n">
        <v>1</v>
      </c>
      <c r="C29" s="5" t="s">
        <v>16</v>
      </c>
      <c r="D29" s="7" t="n">
        <v>9000</v>
      </c>
      <c r="E29" s="7" t="n">
        <v>8890</v>
      </c>
      <c r="F29" s="8" t="str">
        <f aca="false">A29&amp;"|"&amp;C29</f>
        <v>Jan-2025|Education &amp; Training</v>
      </c>
    </row>
    <row r="30" customFormat="false" ht="15" hidden="false" customHeight="false" outlineLevel="0" collapsed="false">
      <c r="A30" s="5" t="s">
        <v>12</v>
      </c>
      <c r="B30" s="6" t="n">
        <v>2</v>
      </c>
      <c r="C30" s="5" t="s">
        <v>16</v>
      </c>
      <c r="D30" s="7" t="n">
        <v>9000</v>
      </c>
      <c r="E30" s="7" t="n">
        <v>8850</v>
      </c>
      <c r="F30" s="8" t="str">
        <f aca="false">A30&amp;"|"&amp;C30</f>
        <v>Feb-2025|Education &amp; Training</v>
      </c>
    </row>
    <row r="31" customFormat="false" ht="15" hidden="false" customHeight="false" outlineLevel="0" collapsed="false">
      <c r="A31" s="5" t="s">
        <v>13</v>
      </c>
      <c r="B31" s="6" t="n">
        <v>3</v>
      </c>
      <c r="C31" s="5" t="s">
        <v>16</v>
      </c>
      <c r="D31" s="7" t="n">
        <v>9000</v>
      </c>
      <c r="E31" s="7" t="n">
        <v>8940</v>
      </c>
      <c r="F31" s="8" t="str">
        <f aca="false">A31&amp;"|"&amp;C31</f>
        <v>Mar-2025|Education &amp; Training</v>
      </c>
    </row>
    <row r="32" customFormat="false" ht="15" hidden="false" customHeight="false" outlineLevel="0" collapsed="false">
      <c r="A32" s="5" t="s">
        <v>15</v>
      </c>
      <c r="B32" s="6" t="n">
        <v>4</v>
      </c>
      <c r="C32" s="5" t="s">
        <v>16</v>
      </c>
      <c r="D32" s="7" t="n">
        <v>9000</v>
      </c>
      <c r="E32" s="7" t="n">
        <v>8670</v>
      </c>
      <c r="F32" s="8" t="str">
        <f aca="false">A32&amp;"|"&amp;C32</f>
        <v>Apr-2025|Education &amp; Training</v>
      </c>
    </row>
    <row r="33" customFormat="false" ht="15" hidden="false" customHeight="false" outlineLevel="0" collapsed="false">
      <c r="A33" s="5" t="s">
        <v>17</v>
      </c>
      <c r="B33" s="6" t="n">
        <v>5</v>
      </c>
      <c r="C33" s="5" t="s">
        <v>16</v>
      </c>
      <c r="D33" s="7" t="n">
        <v>9000</v>
      </c>
      <c r="E33" s="7" t="n">
        <v>9130</v>
      </c>
      <c r="F33" s="8" t="str">
        <f aca="false">A33&amp;"|"&amp;C33</f>
        <v>May-2025|Education &amp; Training</v>
      </c>
    </row>
    <row r="34" customFormat="false" ht="15" hidden="false" customHeight="false" outlineLevel="0" collapsed="false">
      <c r="A34" s="5" t="s">
        <v>19</v>
      </c>
      <c r="B34" s="6" t="n">
        <v>6</v>
      </c>
      <c r="C34" s="5" t="s">
        <v>16</v>
      </c>
      <c r="D34" s="7" t="n">
        <v>9000</v>
      </c>
      <c r="E34" s="7" t="n">
        <v>8680</v>
      </c>
      <c r="F34" s="8" t="str">
        <f aca="false">A34&amp;"|"&amp;C34</f>
        <v>Jun-2025|Education &amp; Training</v>
      </c>
    </row>
    <row r="35" customFormat="false" ht="15" hidden="false" customHeight="false" outlineLevel="0" collapsed="false">
      <c r="A35" s="5" t="s">
        <v>21</v>
      </c>
      <c r="B35" s="6" t="n">
        <v>7</v>
      </c>
      <c r="C35" s="5" t="s">
        <v>16</v>
      </c>
      <c r="D35" s="7" t="n">
        <v>9000</v>
      </c>
      <c r="E35" s="7" t="n">
        <v>8570</v>
      </c>
      <c r="F35" s="8" t="str">
        <f aca="false">A35&amp;"|"&amp;C35</f>
        <v>Jul-2025|Education &amp; Training</v>
      </c>
    </row>
    <row r="36" customFormat="false" ht="15" hidden="false" customHeight="false" outlineLevel="0" collapsed="false">
      <c r="A36" s="5" t="s">
        <v>23</v>
      </c>
      <c r="B36" s="6" t="n">
        <v>8</v>
      </c>
      <c r="C36" s="5" t="s">
        <v>16</v>
      </c>
      <c r="D36" s="7" t="n">
        <v>9000</v>
      </c>
      <c r="E36" s="7" t="n">
        <v>10430</v>
      </c>
      <c r="F36" s="8" t="str">
        <f aca="false">A36&amp;"|"&amp;C36</f>
        <v>Aug-2025|Education &amp; Training</v>
      </c>
    </row>
    <row r="37" customFormat="false" ht="15" hidden="false" customHeight="false" outlineLevel="0" collapsed="false">
      <c r="A37" s="5" t="s">
        <v>25</v>
      </c>
      <c r="B37" s="6" t="n">
        <v>9</v>
      </c>
      <c r="C37" s="5" t="s">
        <v>16</v>
      </c>
      <c r="D37" s="7" t="n">
        <v>9000</v>
      </c>
      <c r="E37" s="7" t="n">
        <v>10810</v>
      </c>
      <c r="F37" s="8" t="str">
        <f aca="false">A37&amp;"|"&amp;C37</f>
        <v>Sep-2025|Education &amp; Training</v>
      </c>
    </row>
    <row r="38" customFormat="false" ht="15" hidden="false" customHeight="false" outlineLevel="0" collapsed="false">
      <c r="A38" s="5" t="s">
        <v>27</v>
      </c>
      <c r="B38" s="6" t="n">
        <v>10</v>
      </c>
      <c r="C38" s="5" t="s">
        <v>16</v>
      </c>
      <c r="D38" s="7" t="n">
        <v>9000</v>
      </c>
      <c r="E38" s="7" t="n">
        <v>9350</v>
      </c>
      <c r="F38" s="8" t="str">
        <f aca="false">A38&amp;"|"&amp;C38</f>
        <v>Oct-2025|Education &amp; Training</v>
      </c>
    </row>
    <row r="39" customFormat="false" ht="15" hidden="false" customHeight="false" outlineLevel="0" collapsed="false">
      <c r="A39" s="5" t="s">
        <v>28</v>
      </c>
      <c r="B39" s="6" t="n">
        <v>11</v>
      </c>
      <c r="C39" s="5" t="s">
        <v>16</v>
      </c>
      <c r="D39" s="7" t="n">
        <v>9000</v>
      </c>
      <c r="E39" s="7" t="n">
        <v>8870</v>
      </c>
      <c r="F39" s="8" t="str">
        <f aca="false">A39&amp;"|"&amp;C39</f>
        <v>Nov-2025|Education &amp; Training</v>
      </c>
    </row>
    <row r="40" customFormat="false" ht="15" hidden="false" customHeight="false" outlineLevel="0" collapsed="false">
      <c r="A40" s="5" t="s">
        <v>29</v>
      </c>
      <c r="B40" s="6" t="n">
        <v>12</v>
      </c>
      <c r="C40" s="5" t="s">
        <v>16</v>
      </c>
      <c r="D40" s="7" t="n">
        <v>9000</v>
      </c>
      <c r="E40" s="7" t="n">
        <v>9020</v>
      </c>
      <c r="F40" s="8" t="str">
        <f aca="false">A40&amp;"|"&amp;C40</f>
        <v>Dec-2025|Education &amp; Training</v>
      </c>
    </row>
    <row r="41" customFormat="false" ht="15" hidden="false" customHeight="false" outlineLevel="0" collapsed="false">
      <c r="A41" s="5" t="s">
        <v>9</v>
      </c>
      <c r="B41" s="6" t="n">
        <v>1</v>
      </c>
      <c r="C41" s="5" t="s">
        <v>18</v>
      </c>
      <c r="D41" s="7" t="n">
        <v>11000</v>
      </c>
      <c r="E41" s="7" t="n">
        <v>11360</v>
      </c>
      <c r="F41" s="8" t="str">
        <f aca="false">A41&amp;"|"&amp;C41</f>
        <v>Jan-2025|Livelihoods &amp; Financial Inclusion</v>
      </c>
    </row>
    <row r="42" customFormat="false" ht="15" hidden="false" customHeight="false" outlineLevel="0" collapsed="false">
      <c r="A42" s="5" t="s">
        <v>12</v>
      </c>
      <c r="B42" s="6" t="n">
        <v>2</v>
      </c>
      <c r="C42" s="5" t="s">
        <v>18</v>
      </c>
      <c r="D42" s="7" t="n">
        <v>11000</v>
      </c>
      <c r="E42" s="7" t="n">
        <v>11490</v>
      </c>
      <c r="F42" s="8" t="str">
        <f aca="false">A42&amp;"|"&amp;C42</f>
        <v>Feb-2025|Livelihoods &amp; Financial Inclusion</v>
      </c>
    </row>
    <row r="43" customFormat="false" ht="15" hidden="false" customHeight="false" outlineLevel="0" collapsed="false">
      <c r="A43" s="5" t="s">
        <v>13</v>
      </c>
      <c r="B43" s="6" t="n">
        <v>3</v>
      </c>
      <c r="C43" s="5" t="s">
        <v>18</v>
      </c>
      <c r="D43" s="7" t="n">
        <v>11000</v>
      </c>
      <c r="E43" s="7" t="n">
        <v>11820</v>
      </c>
      <c r="F43" s="8" t="str">
        <f aca="false">A43&amp;"|"&amp;C43</f>
        <v>Mar-2025|Livelihoods &amp; Financial Inclusion</v>
      </c>
    </row>
    <row r="44" customFormat="false" ht="15" hidden="false" customHeight="false" outlineLevel="0" collapsed="false">
      <c r="A44" s="5" t="s">
        <v>15</v>
      </c>
      <c r="B44" s="6" t="n">
        <v>4</v>
      </c>
      <c r="C44" s="5" t="s">
        <v>18</v>
      </c>
      <c r="D44" s="7" t="n">
        <v>11000</v>
      </c>
      <c r="E44" s="7" t="n">
        <v>12020</v>
      </c>
      <c r="F44" s="8" t="str">
        <f aca="false">A44&amp;"|"&amp;C44</f>
        <v>Apr-2025|Livelihoods &amp; Financial Inclusion</v>
      </c>
    </row>
    <row r="45" customFormat="false" ht="15" hidden="false" customHeight="false" outlineLevel="0" collapsed="false">
      <c r="A45" s="5" t="s">
        <v>17</v>
      </c>
      <c r="B45" s="6" t="n">
        <v>5</v>
      </c>
      <c r="C45" s="5" t="s">
        <v>18</v>
      </c>
      <c r="D45" s="7" t="n">
        <v>11000</v>
      </c>
      <c r="E45" s="7" t="n">
        <v>12300</v>
      </c>
      <c r="F45" s="8" t="str">
        <f aca="false">A45&amp;"|"&amp;C45</f>
        <v>May-2025|Livelihoods &amp; Financial Inclusion</v>
      </c>
    </row>
    <row r="46" customFormat="false" ht="15" hidden="false" customHeight="false" outlineLevel="0" collapsed="false">
      <c r="A46" s="5" t="s">
        <v>19</v>
      </c>
      <c r="B46" s="6" t="n">
        <v>6</v>
      </c>
      <c r="C46" s="5" t="s">
        <v>18</v>
      </c>
      <c r="D46" s="7" t="n">
        <v>11000</v>
      </c>
      <c r="E46" s="7" t="n">
        <v>12340</v>
      </c>
      <c r="F46" s="8" t="str">
        <f aca="false">A46&amp;"|"&amp;C46</f>
        <v>Jun-2025|Livelihoods &amp; Financial Inclusion</v>
      </c>
    </row>
    <row r="47" customFormat="false" ht="15" hidden="false" customHeight="false" outlineLevel="0" collapsed="false">
      <c r="A47" s="5" t="s">
        <v>21</v>
      </c>
      <c r="B47" s="6" t="n">
        <v>7</v>
      </c>
      <c r="C47" s="5" t="s">
        <v>18</v>
      </c>
      <c r="D47" s="7" t="n">
        <v>11000</v>
      </c>
      <c r="E47" s="7" t="n">
        <v>12640</v>
      </c>
      <c r="F47" s="8" t="str">
        <f aca="false">A47&amp;"|"&amp;C47</f>
        <v>Jul-2025|Livelihoods &amp; Financial Inclusion</v>
      </c>
    </row>
    <row r="48" customFormat="false" ht="15" hidden="false" customHeight="false" outlineLevel="0" collapsed="false">
      <c r="A48" s="5" t="s">
        <v>23</v>
      </c>
      <c r="B48" s="6" t="n">
        <v>8</v>
      </c>
      <c r="C48" s="5" t="s">
        <v>18</v>
      </c>
      <c r="D48" s="7" t="n">
        <v>11000</v>
      </c>
      <c r="E48" s="7" t="n">
        <v>12890</v>
      </c>
      <c r="F48" s="8" t="str">
        <f aca="false">A48&amp;"|"&amp;C48</f>
        <v>Aug-2025|Livelihoods &amp; Financial Inclusion</v>
      </c>
    </row>
    <row r="49" customFormat="false" ht="15" hidden="false" customHeight="false" outlineLevel="0" collapsed="false">
      <c r="A49" s="5" t="s">
        <v>25</v>
      </c>
      <c r="B49" s="6" t="n">
        <v>9</v>
      </c>
      <c r="C49" s="5" t="s">
        <v>18</v>
      </c>
      <c r="D49" s="7" t="n">
        <v>11000</v>
      </c>
      <c r="E49" s="7" t="n">
        <v>13020</v>
      </c>
      <c r="F49" s="8" t="str">
        <f aca="false">A49&amp;"|"&amp;C49</f>
        <v>Sep-2025|Livelihoods &amp; Financial Inclusion</v>
      </c>
    </row>
    <row r="50" customFormat="false" ht="15" hidden="false" customHeight="false" outlineLevel="0" collapsed="false">
      <c r="A50" s="5" t="s">
        <v>27</v>
      </c>
      <c r="B50" s="6" t="n">
        <v>10</v>
      </c>
      <c r="C50" s="5" t="s">
        <v>18</v>
      </c>
      <c r="D50" s="7" t="n">
        <v>11000</v>
      </c>
      <c r="E50" s="7" t="n">
        <v>13300</v>
      </c>
      <c r="F50" s="8" t="str">
        <f aca="false">A50&amp;"|"&amp;C50</f>
        <v>Oct-2025|Livelihoods &amp; Financial Inclusion</v>
      </c>
    </row>
    <row r="51" customFormat="false" ht="15" hidden="false" customHeight="false" outlineLevel="0" collapsed="false">
      <c r="A51" s="5" t="s">
        <v>28</v>
      </c>
      <c r="B51" s="6" t="n">
        <v>11</v>
      </c>
      <c r="C51" s="5" t="s">
        <v>18</v>
      </c>
      <c r="D51" s="7" t="n">
        <v>11000</v>
      </c>
      <c r="E51" s="7" t="n">
        <v>13460</v>
      </c>
      <c r="F51" s="8" t="str">
        <f aca="false">A51&amp;"|"&amp;C51</f>
        <v>Nov-2025|Livelihoods &amp; Financial Inclusion</v>
      </c>
    </row>
    <row r="52" customFormat="false" ht="15" hidden="false" customHeight="false" outlineLevel="0" collapsed="false">
      <c r="A52" s="5" t="s">
        <v>29</v>
      </c>
      <c r="B52" s="6" t="n">
        <v>12</v>
      </c>
      <c r="C52" s="5" t="s">
        <v>18</v>
      </c>
      <c r="D52" s="7" t="n">
        <v>11000</v>
      </c>
      <c r="E52" s="7" t="n">
        <v>13760</v>
      </c>
      <c r="F52" s="8" t="str">
        <f aca="false">A52&amp;"|"&amp;C52</f>
        <v>Dec-2025|Livelihoods &amp; Financial Inclusion</v>
      </c>
    </row>
    <row r="53" customFormat="false" ht="15" hidden="false" customHeight="false" outlineLevel="0" collapsed="false">
      <c r="A53" s="5" t="s">
        <v>9</v>
      </c>
      <c r="B53" s="6" t="n">
        <v>1</v>
      </c>
      <c r="C53" s="5" t="s">
        <v>20</v>
      </c>
      <c r="D53" s="7" t="n">
        <v>5000</v>
      </c>
      <c r="E53" s="7" t="n">
        <v>4280</v>
      </c>
      <c r="F53" s="8" t="str">
        <f aca="false">A53&amp;"|"&amp;C53</f>
        <v>Jan-2025|Monitoring &amp; Evaluation</v>
      </c>
    </row>
    <row r="54" customFormat="false" ht="15" hidden="false" customHeight="false" outlineLevel="0" collapsed="false">
      <c r="A54" s="5" t="s">
        <v>12</v>
      </c>
      <c r="B54" s="6" t="n">
        <v>2</v>
      </c>
      <c r="C54" s="5" t="s">
        <v>20</v>
      </c>
      <c r="D54" s="7" t="n">
        <v>5000</v>
      </c>
      <c r="E54" s="7" t="n">
        <v>4320</v>
      </c>
      <c r="F54" s="8" t="str">
        <f aca="false">A54&amp;"|"&amp;C54</f>
        <v>Feb-2025|Monitoring &amp; Evaluation</v>
      </c>
    </row>
    <row r="55" customFormat="false" ht="15" hidden="false" customHeight="false" outlineLevel="0" collapsed="false">
      <c r="A55" s="5" t="s">
        <v>13</v>
      </c>
      <c r="B55" s="6" t="n">
        <v>3</v>
      </c>
      <c r="C55" s="5" t="s">
        <v>20</v>
      </c>
      <c r="D55" s="7" t="n">
        <v>5000</v>
      </c>
      <c r="E55" s="7" t="n">
        <v>4470</v>
      </c>
      <c r="F55" s="8" t="str">
        <f aca="false">A55&amp;"|"&amp;C55</f>
        <v>Mar-2025|Monitoring &amp; Evaluation</v>
      </c>
    </row>
    <row r="56" customFormat="false" ht="15" hidden="false" customHeight="false" outlineLevel="0" collapsed="false">
      <c r="A56" s="5" t="s">
        <v>15</v>
      </c>
      <c r="B56" s="6" t="n">
        <v>4</v>
      </c>
      <c r="C56" s="5" t="s">
        <v>20</v>
      </c>
      <c r="D56" s="7" t="n">
        <v>5000</v>
      </c>
      <c r="E56" s="7" t="n">
        <v>4240</v>
      </c>
      <c r="F56" s="8" t="str">
        <f aca="false">A56&amp;"|"&amp;C56</f>
        <v>Apr-2025|Monitoring &amp; Evaluation</v>
      </c>
    </row>
    <row r="57" customFormat="false" ht="15" hidden="false" customHeight="false" outlineLevel="0" collapsed="false">
      <c r="A57" s="5" t="s">
        <v>17</v>
      </c>
      <c r="B57" s="6" t="n">
        <v>5</v>
      </c>
      <c r="C57" s="5" t="s">
        <v>20</v>
      </c>
      <c r="D57" s="7" t="n">
        <v>5000</v>
      </c>
      <c r="E57" s="7" t="n">
        <v>4350</v>
      </c>
      <c r="F57" s="8" t="str">
        <f aca="false">A57&amp;"|"&amp;C57</f>
        <v>May-2025|Monitoring &amp; Evaluation</v>
      </c>
    </row>
    <row r="58" customFormat="false" ht="15" hidden="false" customHeight="false" outlineLevel="0" collapsed="false">
      <c r="A58" s="5" t="s">
        <v>19</v>
      </c>
      <c r="B58" s="6" t="n">
        <v>6</v>
      </c>
      <c r="C58" s="5" t="s">
        <v>20</v>
      </c>
      <c r="D58" s="7" t="n">
        <v>5000</v>
      </c>
      <c r="E58" s="7" t="n">
        <v>4640</v>
      </c>
      <c r="F58" s="8" t="str">
        <f aca="false">A58&amp;"|"&amp;C58</f>
        <v>Jun-2025|Monitoring &amp; Evaluation</v>
      </c>
    </row>
    <row r="59" customFormat="false" ht="15" hidden="false" customHeight="false" outlineLevel="0" collapsed="false">
      <c r="A59" s="5" t="s">
        <v>21</v>
      </c>
      <c r="B59" s="6" t="n">
        <v>7</v>
      </c>
      <c r="C59" s="5" t="s">
        <v>20</v>
      </c>
      <c r="D59" s="7" t="n">
        <v>5000</v>
      </c>
      <c r="E59" s="7" t="n">
        <v>4480</v>
      </c>
      <c r="F59" s="8" t="str">
        <f aca="false">A59&amp;"|"&amp;C59</f>
        <v>Jul-2025|Monitoring &amp; Evaluation</v>
      </c>
    </row>
    <row r="60" customFormat="false" ht="15" hidden="false" customHeight="false" outlineLevel="0" collapsed="false">
      <c r="A60" s="5" t="s">
        <v>23</v>
      </c>
      <c r="B60" s="6" t="n">
        <v>8</v>
      </c>
      <c r="C60" s="5" t="s">
        <v>20</v>
      </c>
      <c r="D60" s="7" t="n">
        <v>5000</v>
      </c>
      <c r="E60" s="7" t="n">
        <v>4370</v>
      </c>
      <c r="F60" s="8" t="str">
        <f aca="false">A60&amp;"|"&amp;C60</f>
        <v>Aug-2025|Monitoring &amp; Evaluation</v>
      </c>
    </row>
    <row r="61" customFormat="false" ht="15" hidden="false" customHeight="false" outlineLevel="0" collapsed="false">
      <c r="A61" s="5" t="s">
        <v>25</v>
      </c>
      <c r="B61" s="6" t="n">
        <v>9</v>
      </c>
      <c r="C61" s="5" t="s">
        <v>20</v>
      </c>
      <c r="D61" s="7" t="n">
        <v>5000</v>
      </c>
      <c r="E61" s="7" t="n">
        <v>4430</v>
      </c>
      <c r="F61" s="8" t="str">
        <f aca="false">A61&amp;"|"&amp;C61</f>
        <v>Sep-2025|Monitoring &amp; Evaluation</v>
      </c>
    </row>
    <row r="62" customFormat="false" ht="15" hidden="false" customHeight="false" outlineLevel="0" collapsed="false">
      <c r="A62" s="5" t="s">
        <v>27</v>
      </c>
      <c r="B62" s="6" t="n">
        <v>10</v>
      </c>
      <c r="C62" s="5" t="s">
        <v>20</v>
      </c>
      <c r="D62" s="7" t="n">
        <v>5000</v>
      </c>
      <c r="E62" s="7" t="n">
        <v>4350</v>
      </c>
      <c r="F62" s="8" t="str">
        <f aca="false">A62&amp;"|"&amp;C62</f>
        <v>Oct-2025|Monitoring &amp; Evaluation</v>
      </c>
    </row>
    <row r="63" customFormat="false" ht="15" hidden="false" customHeight="false" outlineLevel="0" collapsed="false">
      <c r="A63" s="5" t="s">
        <v>28</v>
      </c>
      <c r="B63" s="6" t="n">
        <v>11</v>
      </c>
      <c r="C63" s="5" t="s">
        <v>20</v>
      </c>
      <c r="D63" s="7" t="n">
        <v>5000</v>
      </c>
      <c r="E63" s="7" t="n">
        <v>4330</v>
      </c>
      <c r="F63" s="8" t="str">
        <f aca="false">A63&amp;"|"&amp;C63</f>
        <v>Nov-2025|Monitoring &amp; Evaluation</v>
      </c>
    </row>
    <row r="64" customFormat="false" ht="15" hidden="false" customHeight="false" outlineLevel="0" collapsed="false">
      <c r="A64" s="5" t="s">
        <v>29</v>
      </c>
      <c r="B64" s="6" t="n">
        <v>12</v>
      </c>
      <c r="C64" s="5" t="s">
        <v>20</v>
      </c>
      <c r="D64" s="7" t="n">
        <v>5000</v>
      </c>
      <c r="E64" s="7" t="n">
        <v>4230</v>
      </c>
      <c r="F64" s="8" t="str">
        <f aca="false">A64&amp;"|"&amp;C64</f>
        <v>Dec-2025|Monitoring &amp; Evaluation</v>
      </c>
    </row>
    <row r="65" customFormat="false" ht="15" hidden="false" customHeight="false" outlineLevel="0" collapsed="false">
      <c r="A65" s="5" t="s">
        <v>9</v>
      </c>
      <c r="B65" s="6" t="n">
        <v>1</v>
      </c>
      <c r="C65" s="5" t="s">
        <v>22</v>
      </c>
      <c r="D65" s="7" t="n">
        <v>7000</v>
      </c>
      <c r="E65" s="7" t="n">
        <v>5740</v>
      </c>
      <c r="F65" s="8" t="str">
        <f aca="false">A65&amp;"|"&amp;C65</f>
        <v>Jan-2025|Emergency Response</v>
      </c>
    </row>
    <row r="66" customFormat="false" ht="15" hidden="false" customHeight="false" outlineLevel="0" collapsed="false">
      <c r="A66" s="5" t="s">
        <v>12</v>
      </c>
      <c r="B66" s="6" t="n">
        <v>2</v>
      </c>
      <c r="C66" s="5" t="s">
        <v>22</v>
      </c>
      <c r="D66" s="7" t="n">
        <v>7000</v>
      </c>
      <c r="E66" s="7" t="n">
        <v>5990</v>
      </c>
      <c r="F66" s="8" t="str">
        <f aca="false">A66&amp;"|"&amp;C66</f>
        <v>Feb-2025|Emergency Response</v>
      </c>
    </row>
    <row r="67" customFormat="false" ht="15" hidden="false" customHeight="false" outlineLevel="0" collapsed="false">
      <c r="A67" s="5" t="s">
        <v>13</v>
      </c>
      <c r="B67" s="6" t="n">
        <v>3</v>
      </c>
      <c r="C67" s="5" t="s">
        <v>22</v>
      </c>
      <c r="D67" s="7" t="n">
        <v>7000</v>
      </c>
      <c r="E67" s="7" t="n">
        <v>6320</v>
      </c>
      <c r="F67" s="8" t="str">
        <f aca="false">A67&amp;"|"&amp;C67</f>
        <v>Mar-2025|Emergency Response</v>
      </c>
    </row>
    <row r="68" customFormat="false" ht="15" hidden="false" customHeight="false" outlineLevel="0" collapsed="false">
      <c r="A68" s="5" t="s">
        <v>15</v>
      </c>
      <c r="B68" s="6" t="n">
        <v>4</v>
      </c>
      <c r="C68" s="5" t="s">
        <v>22</v>
      </c>
      <c r="D68" s="7" t="n">
        <v>7000</v>
      </c>
      <c r="E68" s="7" t="n">
        <v>10200</v>
      </c>
      <c r="F68" s="8" t="str">
        <f aca="false">A68&amp;"|"&amp;C68</f>
        <v>Apr-2025|Emergency Response</v>
      </c>
    </row>
    <row r="69" customFormat="false" ht="15" hidden="false" customHeight="false" outlineLevel="0" collapsed="false">
      <c r="A69" s="5" t="s">
        <v>17</v>
      </c>
      <c r="B69" s="6" t="n">
        <v>5</v>
      </c>
      <c r="C69" s="5" t="s">
        <v>22</v>
      </c>
      <c r="D69" s="7" t="n">
        <v>7000</v>
      </c>
      <c r="E69" s="7" t="n">
        <v>11300</v>
      </c>
      <c r="F69" s="8" t="str">
        <f aca="false">A69&amp;"|"&amp;C69</f>
        <v>May-2025|Emergency Response</v>
      </c>
    </row>
    <row r="70" customFormat="false" ht="15" hidden="false" customHeight="false" outlineLevel="0" collapsed="false">
      <c r="A70" s="5" t="s">
        <v>19</v>
      </c>
      <c r="B70" s="6" t="n">
        <v>6</v>
      </c>
      <c r="C70" s="5" t="s">
        <v>22</v>
      </c>
      <c r="D70" s="7" t="n">
        <v>7000</v>
      </c>
      <c r="E70" s="7" t="n">
        <v>7780</v>
      </c>
      <c r="F70" s="8" t="str">
        <f aca="false">A70&amp;"|"&amp;C70</f>
        <v>Jun-2025|Emergency Response</v>
      </c>
    </row>
    <row r="71" customFormat="false" ht="15" hidden="false" customHeight="false" outlineLevel="0" collapsed="false">
      <c r="A71" s="5" t="s">
        <v>21</v>
      </c>
      <c r="B71" s="6" t="n">
        <v>7</v>
      </c>
      <c r="C71" s="5" t="s">
        <v>22</v>
      </c>
      <c r="D71" s="7" t="n">
        <v>7000</v>
      </c>
      <c r="E71" s="7" t="n">
        <v>6570</v>
      </c>
      <c r="F71" s="8" t="str">
        <f aca="false">A71&amp;"|"&amp;C71</f>
        <v>Jul-2025|Emergency Response</v>
      </c>
    </row>
    <row r="72" customFormat="false" ht="15" hidden="false" customHeight="false" outlineLevel="0" collapsed="false">
      <c r="A72" s="5" t="s">
        <v>23</v>
      </c>
      <c r="B72" s="6" t="n">
        <v>8</v>
      </c>
      <c r="C72" s="5" t="s">
        <v>22</v>
      </c>
      <c r="D72" s="7" t="n">
        <v>7000</v>
      </c>
      <c r="E72" s="7" t="n">
        <v>9320</v>
      </c>
      <c r="F72" s="8" t="str">
        <f aca="false">A72&amp;"|"&amp;C72</f>
        <v>Aug-2025|Emergency Response</v>
      </c>
    </row>
    <row r="73" customFormat="false" ht="15" hidden="false" customHeight="false" outlineLevel="0" collapsed="false">
      <c r="A73" s="5" t="s">
        <v>25</v>
      </c>
      <c r="B73" s="6" t="n">
        <v>9</v>
      </c>
      <c r="C73" s="5" t="s">
        <v>22</v>
      </c>
      <c r="D73" s="7" t="n">
        <v>7000</v>
      </c>
      <c r="E73" s="7" t="n">
        <v>6250</v>
      </c>
      <c r="F73" s="8" t="str">
        <f aca="false">A73&amp;"|"&amp;C73</f>
        <v>Sep-2025|Emergency Response</v>
      </c>
    </row>
    <row r="74" customFormat="false" ht="15" hidden="false" customHeight="false" outlineLevel="0" collapsed="false">
      <c r="A74" s="5" t="s">
        <v>27</v>
      </c>
      <c r="B74" s="6" t="n">
        <v>10</v>
      </c>
      <c r="C74" s="5" t="s">
        <v>22</v>
      </c>
      <c r="D74" s="7" t="n">
        <v>7000</v>
      </c>
      <c r="E74" s="7" t="n">
        <v>5880</v>
      </c>
      <c r="F74" s="8" t="str">
        <f aca="false">A74&amp;"|"&amp;C74</f>
        <v>Oct-2025|Emergency Response</v>
      </c>
    </row>
    <row r="75" customFormat="false" ht="15" hidden="false" customHeight="false" outlineLevel="0" collapsed="false">
      <c r="A75" s="5" t="s">
        <v>28</v>
      </c>
      <c r="B75" s="6" t="n">
        <v>11</v>
      </c>
      <c r="C75" s="5" t="s">
        <v>22</v>
      </c>
      <c r="D75" s="7" t="n">
        <v>7000</v>
      </c>
      <c r="E75" s="7" t="n">
        <v>5520</v>
      </c>
      <c r="F75" s="8" t="str">
        <f aca="false">A75&amp;"|"&amp;C75</f>
        <v>Nov-2025|Emergency Response</v>
      </c>
    </row>
    <row r="76" customFormat="false" ht="15" hidden="false" customHeight="false" outlineLevel="0" collapsed="false">
      <c r="A76" s="5" t="s">
        <v>29</v>
      </c>
      <c r="B76" s="6" t="n">
        <v>12</v>
      </c>
      <c r="C76" s="5" t="s">
        <v>22</v>
      </c>
      <c r="D76" s="7" t="n">
        <v>7000</v>
      </c>
      <c r="E76" s="7" t="n">
        <v>6420</v>
      </c>
      <c r="F76" s="8" t="str">
        <f aca="false">A76&amp;"|"&amp;C76</f>
        <v>Dec-2025|Emergency Response</v>
      </c>
    </row>
    <row r="77" customFormat="false" ht="15" hidden="false" customHeight="false" outlineLevel="0" collapsed="false">
      <c r="A77" s="5" t="s">
        <v>9</v>
      </c>
      <c r="B77" s="6" t="n">
        <v>1</v>
      </c>
      <c r="C77" s="5" t="s">
        <v>24</v>
      </c>
      <c r="D77" s="7" t="n">
        <v>6000</v>
      </c>
      <c r="E77" s="7" t="n">
        <v>5970</v>
      </c>
      <c r="F77" s="8" t="str">
        <f aca="false">A77&amp;"|"&amp;C77</f>
        <v>Jan-2025|Community Mobilization</v>
      </c>
    </row>
    <row r="78" customFormat="false" ht="15" hidden="false" customHeight="false" outlineLevel="0" collapsed="false">
      <c r="A78" s="5" t="s">
        <v>12</v>
      </c>
      <c r="B78" s="6" t="n">
        <v>2</v>
      </c>
      <c r="C78" s="5" t="s">
        <v>24</v>
      </c>
      <c r="D78" s="7" t="n">
        <v>6000</v>
      </c>
      <c r="E78" s="7" t="n">
        <v>6080</v>
      </c>
      <c r="F78" s="8" t="str">
        <f aca="false">A78&amp;"|"&amp;C78</f>
        <v>Feb-2025|Community Mobilization</v>
      </c>
    </row>
    <row r="79" customFormat="false" ht="15" hidden="false" customHeight="false" outlineLevel="0" collapsed="false">
      <c r="A79" s="5" t="s">
        <v>13</v>
      </c>
      <c r="B79" s="6" t="n">
        <v>3</v>
      </c>
      <c r="C79" s="5" t="s">
        <v>24</v>
      </c>
      <c r="D79" s="7" t="n">
        <v>6000</v>
      </c>
      <c r="E79" s="7" t="n">
        <v>5980</v>
      </c>
      <c r="F79" s="8" t="str">
        <f aca="false">A79&amp;"|"&amp;C79</f>
        <v>Mar-2025|Community Mobilization</v>
      </c>
    </row>
    <row r="80" customFormat="false" ht="15" hidden="false" customHeight="false" outlineLevel="0" collapsed="false">
      <c r="A80" s="5" t="s">
        <v>15</v>
      </c>
      <c r="B80" s="6" t="n">
        <v>4</v>
      </c>
      <c r="C80" s="5" t="s">
        <v>24</v>
      </c>
      <c r="D80" s="7" t="n">
        <v>6000</v>
      </c>
      <c r="E80" s="7" t="n">
        <v>6030</v>
      </c>
      <c r="F80" s="8" t="str">
        <f aca="false">A80&amp;"|"&amp;C80</f>
        <v>Apr-2025|Community Mobilization</v>
      </c>
    </row>
    <row r="81" customFormat="false" ht="15" hidden="false" customHeight="false" outlineLevel="0" collapsed="false">
      <c r="A81" s="5" t="s">
        <v>17</v>
      </c>
      <c r="B81" s="6" t="n">
        <v>5</v>
      </c>
      <c r="C81" s="5" t="s">
        <v>24</v>
      </c>
      <c r="D81" s="7" t="n">
        <v>6000</v>
      </c>
      <c r="E81" s="7" t="n">
        <v>5920</v>
      </c>
      <c r="F81" s="8" t="str">
        <f aca="false">A81&amp;"|"&amp;C81</f>
        <v>May-2025|Community Mobilization</v>
      </c>
    </row>
    <row r="82" customFormat="false" ht="15" hidden="false" customHeight="false" outlineLevel="0" collapsed="false">
      <c r="A82" s="5" t="s">
        <v>19</v>
      </c>
      <c r="B82" s="6" t="n">
        <v>6</v>
      </c>
      <c r="C82" s="5" t="s">
        <v>24</v>
      </c>
      <c r="D82" s="7" t="n">
        <v>6000</v>
      </c>
      <c r="E82" s="7" t="n">
        <v>6170</v>
      </c>
      <c r="F82" s="8" t="str">
        <f aca="false">A82&amp;"|"&amp;C82</f>
        <v>Jun-2025|Community Mobilization</v>
      </c>
    </row>
    <row r="83" customFormat="false" ht="15" hidden="false" customHeight="false" outlineLevel="0" collapsed="false">
      <c r="A83" s="5" t="s">
        <v>21</v>
      </c>
      <c r="B83" s="6" t="n">
        <v>7</v>
      </c>
      <c r="C83" s="5" t="s">
        <v>24</v>
      </c>
      <c r="D83" s="7" t="n">
        <v>6000</v>
      </c>
      <c r="E83" s="7" t="n">
        <v>5940</v>
      </c>
      <c r="F83" s="8" t="str">
        <f aca="false">A83&amp;"|"&amp;C83</f>
        <v>Jul-2025|Community Mobilization</v>
      </c>
    </row>
    <row r="84" customFormat="false" ht="15" hidden="false" customHeight="false" outlineLevel="0" collapsed="false">
      <c r="A84" s="5" t="s">
        <v>23</v>
      </c>
      <c r="B84" s="6" t="n">
        <v>8</v>
      </c>
      <c r="C84" s="5" t="s">
        <v>24</v>
      </c>
      <c r="D84" s="7" t="n">
        <v>6000</v>
      </c>
      <c r="E84" s="7" t="n">
        <v>5820</v>
      </c>
      <c r="F84" s="8" t="str">
        <f aca="false">A84&amp;"|"&amp;C84</f>
        <v>Aug-2025|Community Mobilization</v>
      </c>
    </row>
    <row r="85" customFormat="false" ht="15" hidden="false" customHeight="false" outlineLevel="0" collapsed="false">
      <c r="A85" s="5" t="s">
        <v>25</v>
      </c>
      <c r="B85" s="6" t="n">
        <v>9</v>
      </c>
      <c r="C85" s="5" t="s">
        <v>24</v>
      </c>
      <c r="D85" s="7" t="n">
        <v>6000</v>
      </c>
      <c r="E85" s="7" t="n">
        <v>6130</v>
      </c>
      <c r="F85" s="8" t="str">
        <f aca="false">A85&amp;"|"&amp;C85</f>
        <v>Sep-2025|Community Mobilization</v>
      </c>
    </row>
    <row r="86" customFormat="false" ht="15" hidden="false" customHeight="false" outlineLevel="0" collapsed="false">
      <c r="A86" s="5" t="s">
        <v>27</v>
      </c>
      <c r="B86" s="6" t="n">
        <v>10</v>
      </c>
      <c r="C86" s="5" t="s">
        <v>24</v>
      </c>
      <c r="D86" s="7" t="n">
        <v>6000</v>
      </c>
      <c r="E86" s="7" t="n">
        <v>5880</v>
      </c>
      <c r="F86" s="8" t="str">
        <f aca="false">A86&amp;"|"&amp;C86</f>
        <v>Oct-2025|Community Mobilization</v>
      </c>
    </row>
    <row r="87" customFormat="false" ht="15" hidden="false" customHeight="false" outlineLevel="0" collapsed="false">
      <c r="A87" s="5" t="s">
        <v>28</v>
      </c>
      <c r="B87" s="6" t="n">
        <v>11</v>
      </c>
      <c r="C87" s="5" t="s">
        <v>24</v>
      </c>
      <c r="D87" s="7" t="n">
        <v>6000</v>
      </c>
      <c r="E87" s="7" t="n">
        <v>6080</v>
      </c>
      <c r="F87" s="8" t="str">
        <f aca="false">A87&amp;"|"&amp;C87</f>
        <v>Nov-2025|Community Mobilization</v>
      </c>
    </row>
    <row r="88" customFormat="false" ht="15" hidden="false" customHeight="false" outlineLevel="0" collapsed="false">
      <c r="A88" s="5" t="s">
        <v>29</v>
      </c>
      <c r="B88" s="6" t="n">
        <v>12</v>
      </c>
      <c r="C88" s="5" t="s">
        <v>24</v>
      </c>
      <c r="D88" s="7" t="n">
        <v>6000</v>
      </c>
      <c r="E88" s="7" t="n">
        <v>6100</v>
      </c>
      <c r="F88" s="8" t="str">
        <f aca="false">A88&amp;"|"&amp;C88</f>
        <v>Dec-2025|Community Mobilization</v>
      </c>
    </row>
    <row r="89" customFormat="false" ht="15" hidden="false" customHeight="false" outlineLevel="0" collapsed="false">
      <c r="A89" s="5" t="s">
        <v>9</v>
      </c>
      <c r="B89" s="6" t="n">
        <v>1</v>
      </c>
      <c r="C89" s="5" t="s">
        <v>26</v>
      </c>
      <c r="D89" s="7" t="n">
        <v>7000</v>
      </c>
      <c r="E89" s="7" t="n">
        <v>7180</v>
      </c>
      <c r="F89" s="8" t="str">
        <f aca="false">A89&amp;"|"&amp;C89</f>
        <v>Jan-2025|Admin &amp; Operations</v>
      </c>
    </row>
    <row r="90" customFormat="false" ht="15" hidden="false" customHeight="false" outlineLevel="0" collapsed="false">
      <c r="A90" s="5" t="s">
        <v>12</v>
      </c>
      <c r="B90" s="6" t="n">
        <v>2</v>
      </c>
      <c r="C90" s="5" t="s">
        <v>26</v>
      </c>
      <c r="D90" s="7" t="n">
        <v>7000</v>
      </c>
      <c r="E90" s="7" t="n">
        <v>7200</v>
      </c>
      <c r="F90" s="8" t="str">
        <f aca="false">A90&amp;"|"&amp;C90</f>
        <v>Feb-2025|Admin &amp; Operations</v>
      </c>
    </row>
    <row r="91" customFormat="false" ht="15" hidden="false" customHeight="false" outlineLevel="0" collapsed="false">
      <c r="A91" s="5" t="s">
        <v>13</v>
      </c>
      <c r="B91" s="6" t="n">
        <v>3</v>
      </c>
      <c r="C91" s="5" t="s">
        <v>26</v>
      </c>
      <c r="D91" s="7" t="n">
        <v>7000</v>
      </c>
      <c r="E91" s="7" t="n">
        <v>7280</v>
      </c>
      <c r="F91" s="8" t="str">
        <f aca="false">A91&amp;"|"&amp;C91</f>
        <v>Mar-2025|Admin &amp; Operations</v>
      </c>
    </row>
    <row r="92" customFormat="false" ht="15" hidden="false" customHeight="false" outlineLevel="0" collapsed="false">
      <c r="A92" s="5" t="s">
        <v>15</v>
      </c>
      <c r="B92" s="6" t="n">
        <v>4</v>
      </c>
      <c r="C92" s="5" t="s">
        <v>26</v>
      </c>
      <c r="D92" s="7" t="n">
        <v>7000</v>
      </c>
      <c r="E92" s="7" t="n">
        <v>7350</v>
      </c>
      <c r="F92" s="8" t="str">
        <f aca="false">A92&amp;"|"&amp;C92</f>
        <v>Apr-2025|Admin &amp; Operations</v>
      </c>
    </row>
    <row r="93" customFormat="false" ht="15" hidden="false" customHeight="false" outlineLevel="0" collapsed="false">
      <c r="A93" s="5" t="s">
        <v>17</v>
      </c>
      <c r="B93" s="6" t="n">
        <v>5</v>
      </c>
      <c r="C93" s="5" t="s">
        <v>26</v>
      </c>
      <c r="D93" s="7" t="n">
        <v>7000</v>
      </c>
      <c r="E93" s="7" t="n">
        <v>7310</v>
      </c>
      <c r="F93" s="8" t="str">
        <f aca="false">A93&amp;"|"&amp;C93</f>
        <v>May-2025|Admin &amp; Operations</v>
      </c>
    </row>
    <row r="94" customFormat="false" ht="15" hidden="false" customHeight="false" outlineLevel="0" collapsed="false">
      <c r="A94" s="5" t="s">
        <v>19</v>
      </c>
      <c r="B94" s="6" t="n">
        <v>6</v>
      </c>
      <c r="C94" s="5" t="s">
        <v>26</v>
      </c>
      <c r="D94" s="7" t="n">
        <v>7000</v>
      </c>
      <c r="E94" s="7" t="n">
        <v>7150</v>
      </c>
      <c r="F94" s="8" t="str">
        <f aca="false">A94&amp;"|"&amp;C94</f>
        <v>Jun-2025|Admin &amp; Operations</v>
      </c>
    </row>
    <row r="95" customFormat="false" ht="15" hidden="false" customHeight="false" outlineLevel="0" collapsed="false">
      <c r="A95" s="5" t="s">
        <v>21</v>
      </c>
      <c r="B95" s="6" t="n">
        <v>7</v>
      </c>
      <c r="C95" s="5" t="s">
        <v>26</v>
      </c>
      <c r="D95" s="7" t="n">
        <v>7000</v>
      </c>
      <c r="E95" s="7" t="n">
        <v>7380</v>
      </c>
      <c r="F95" s="8" t="str">
        <f aca="false">A95&amp;"|"&amp;C95</f>
        <v>Jul-2025|Admin &amp; Operations</v>
      </c>
    </row>
    <row r="96" customFormat="false" ht="15" hidden="false" customHeight="false" outlineLevel="0" collapsed="false">
      <c r="A96" s="5" t="s">
        <v>23</v>
      </c>
      <c r="B96" s="6" t="n">
        <v>8</v>
      </c>
      <c r="C96" s="5" t="s">
        <v>26</v>
      </c>
      <c r="D96" s="7" t="n">
        <v>7000</v>
      </c>
      <c r="E96" s="7" t="n">
        <v>7390</v>
      </c>
      <c r="F96" s="8" t="str">
        <f aca="false">A96&amp;"|"&amp;C96</f>
        <v>Aug-2025|Admin &amp; Operations</v>
      </c>
    </row>
    <row r="97" customFormat="false" ht="15" hidden="false" customHeight="false" outlineLevel="0" collapsed="false">
      <c r="A97" s="5" t="s">
        <v>25</v>
      </c>
      <c r="B97" s="6" t="n">
        <v>9</v>
      </c>
      <c r="C97" s="5" t="s">
        <v>26</v>
      </c>
      <c r="D97" s="7" t="n">
        <v>7000</v>
      </c>
      <c r="E97" s="7" t="n">
        <v>7500</v>
      </c>
      <c r="F97" s="8" t="str">
        <f aca="false">A97&amp;"|"&amp;C97</f>
        <v>Sep-2025|Admin &amp; Operations</v>
      </c>
    </row>
    <row r="98" customFormat="false" ht="15" hidden="false" customHeight="false" outlineLevel="0" collapsed="false">
      <c r="A98" s="5" t="s">
        <v>27</v>
      </c>
      <c r="B98" s="6" t="n">
        <v>10</v>
      </c>
      <c r="C98" s="5" t="s">
        <v>26</v>
      </c>
      <c r="D98" s="7" t="n">
        <v>7000</v>
      </c>
      <c r="E98" s="7" t="n">
        <v>7540</v>
      </c>
      <c r="F98" s="8" t="str">
        <f aca="false">A98&amp;"|"&amp;C98</f>
        <v>Oct-2025|Admin &amp; Operations</v>
      </c>
    </row>
    <row r="99" customFormat="false" ht="15" hidden="false" customHeight="false" outlineLevel="0" collapsed="false">
      <c r="A99" s="5" t="s">
        <v>28</v>
      </c>
      <c r="B99" s="6" t="n">
        <v>11</v>
      </c>
      <c r="C99" s="5" t="s">
        <v>26</v>
      </c>
      <c r="D99" s="7" t="n">
        <v>7000</v>
      </c>
      <c r="E99" s="7" t="n">
        <v>7370</v>
      </c>
      <c r="F99" s="8" t="str">
        <f aca="false">A99&amp;"|"&amp;C99</f>
        <v>Nov-2025|Admin &amp; Operations</v>
      </c>
    </row>
    <row r="100" customFormat="false" ht="15" hidden="false" customHeight="false" outlineLevel="0" collapsed="false">
      <c r="A100" s="5" t="s">
        <v>29</v>
      </c>
      <c r="B100" s="6" t="n">
        <v>12</v>
      </c>
      <c r="C100" s="5" t="s">
        <v>26</v>
      </c>
      <c r="D100" s="7" t="n">
        <v>7000</v>
      </c>
      <c r="E100" s="7" t="n">
        <v>7600</v>
      </c>
      <c r="F100" s="8" t="str">
        <f aca="false">A100&amp;"|"&amp;C100</f>
        <v>Dec-2025|Admin &amp; Operations</v>
      </c>
    </row>
    <row r="102" customFormat="false" ht="15" hidden="false" customHeight="false" outlineLevel="0" collapsed="false">
      <c r="A102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6" min="4" style="0" width="14"/>
    <col collapsed="false" customWidth="true" hidden="false" outlineLevel="0" max="7" min="7" style="0" width="13"/>
    <col collapsed="false" customWidth="true" hidden="false" outlineLevel="0" max="9" min="8" style="0" width="15"/>
  </cols>
  <sheetData>
    <row r="1" customFormat="false" ht="19.7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3" t="s">
        <v>2</v>
      </c>
      <c r="B4" s="3" t="s">
        <v>4</v>
      </c>
      <c r="C4" s="3" t="s">
        <v>7</v>
      </c>
      <c r="D4" s="3" t="s">
        <v>5</v>
      </c>
      <c r="E4" s="3" t="s">
        <v>6</v>
      </c>
      <c r="F4" s="3" t="s">
        <v>33</v>
      </c>
      <c r="G4" s="3" t="s">
        <v>34</v>
      </c>
      <c r="H4" s="3" t="s">
        <v>35</v>
      </c>
      <c r="I4" s="3" t="s">
        <v>36</v>
      </c>
    </row>
    <row r="5" customFormat="false" ht="15" hidden="false" customHeight="false" outlineLevel="0" collapsed="false">
      <c r="A5" s="11" t="s">
        <v>9</v>
      </c>
      <c r="B5" s="11" t="s">
        <v>10</v>
      </c>
      <c r="C5" s="8" t="str">
        <f aca="false">A5&amp;"|"&amp;B5</f>
        <v>Jan-2025|Health Outreach</v>
      </c>
      <c r="D5" s="12" t="n">
        <f aca="false">VLOOKUP(B5,'Raw Data'!$H$6:$I$13,2,FALSE())</f>
        <v>15000</v>
      </c>
      <c r="E5" s="12" t="n">
        <f aca="false">INDEX('Raw Data'!$E$5:$E$100,MATCH(C5,'Raw Data'!$F$5:$F$100,0))</f>
        <v>16280</v>
      </c>
      <c r="F5" s="12" t="n">
        <f aca="false">E5-D5</f>
        <v>1280</v>
      </c>
      <c r="G5" s="13" t="n">
        <f aca="false">IFERROR(F5/D5,0)</f>
        <v>0.0853333333333333</v>
      </c>
      <c r="H5" s="14" t="str">
        <f aca="false">IF(G5&gt;0.05,"Over Budget",IF(G5&lt;-0.05,"Under Budget","On Track"))</f>
        <v>Over Budget</v>
      </c>
      <c r="I5" s="14" t="str">
        <f aca="false">IF(H5="Over Budget","🔴 Over",IF(H5="Under Budget","🟡 Under","🟢 On Track"))</f>
        <v>🔴 Over</v>
      </c>
    </row>
    <row r="6" customFormat="false" ht="15" hidden="false" customHeight="false" outlineLevel="0" collapsed="false">
      <c r="A6" s="11" t="s">
        <v>12</v>
      </c>
      <c r="B6" s="11" t="s">
        <v>10</v>
      </c>
      <c r="C6" s="8" t="str">
        <f aca="false">A6&amp;"|"&amp;B6</f>
        <v>Feb-2025|Health Outreach</v>
      </c>
      <c r="D6" s="12" t="n">
        <f aca="false">VLOOKUP(B6,'Raw Data'!$H$6:$I$13,2,FALSE())</f>
        <v>15000</v>
      </c>
      <c r="E6" s="12" t="n">
        <f aca="false">INDEX('Raw Data'!$E$5:$E$100,MATCH(C6,'Raw Data'!$F$5:$F$100,0))</f>
        <v>16220</v>
      </c>
      <c r="F6" s="12" t="n">
        <f aca="false">E6-D6</f>
        <v>1220</v>
      </c>
      <c r="G6" s="13" t="n">
        <f aca="false">IFERROR(F6/D6,0)</f>
        <v>0.0813333333333333</v>
      </c>
      <c r="H6" s="14" t="str">
        <f aca="false">IF(G6&gt;0.05,"Over Budget",IF(G6&lt;-0.05,"Under Budget","On Track"))</f>
        <v>Over Budget</v>
      </c>
      <c r="I6" s="14" t="str">
        <f aca="false">IF(H6="Over Budget","🔴 Over",IF(H6="Under Budget","🟡 Under","🟢 On Track"))</f>
        <v>🔴 Over</v>
      </c>
    </row>
    <row r="7" customFormat="false" ht="15" hidden="false" customHeight="false" outlineLevel="0" collapsed="false">
      <c r="A7" s="11" t="s">
        <v>13</v>
      </c>
      <c r="B7" s="11" t="s">
        <v>10</v>
      </c>
      <c r="C7" s="8" t="str">
        <f aca="false">A7&amp;"|"&amp;B7</f>
        <v>Mar-2025|Health Outreach</v>
      </c>
      <c r="D7" s="12" t="n">
        <f aca="false">VLOOKUP(B7,'Raw Data'!$H$6:$I$13,2,FALSE())</f>
        <v>15000</v>
      </c>
      <c r="E7" s="12" t="n">
        <f aca="false">INDEX('Raw Data'!$E$5:$E$100,MATCH(C7,'Raw Data'!$F$5:$F$100,0))</f>
        <v>16670</v>
      </c>
      <c r="F7" s="12" t="n">
        <f aca="false">E7-D7</f>
        <v>1670</v>
      </c>
      <c r="G7" s="13" t="n">
        <f aca="false">IFERROR(F7/D7,0)</f>
        <v>0.111333333333333</v>
      </c>
      <c r="H7" s="14" t="str">
        <f aca="false">IF(G7&gt;0.05,"Over Budget",IF(G7&lt;-0.05,"Under Budget","On Track"))</f>
        <v>Over Budget</v>
      </c>
      <c r="I7" s="14" t="str">
        <f aca="false">IF(H7="Over Budget","🔴 Over",IF(H7="Under Budget","🟡 Under","🟢 On Track"))</f>
        <v>🔴 Over</v>
      </c>
    </row>
    <row r="8" customFormat="false" ht="15" hidden="false" customHeight="false" outlineLevel="0" collapsed="false">
      <c r="A8" s="11" t="s">
        <v>15</v>
      </c>
      <c r="B8" s="11" t="s">
        <v>10</v>
      </c>
      <c r="C8" s="8" t="str">
        <f aca="false">A8&amp;"|"&amp;B8</f>
        <v>Apr-2025|Health Outreach</v>
      </c>
      <c r="D8" s="12" t="n">
        <f aca="false">VLOOKUP(B8,'Raw Data'!$H$6:$I$13,2,FALSE())</f>
        <v>15000</v>
      </c>
      <c r="E8" s="12" t="n">
        <f aca="false">INDEX('Raw Data'!$E$5:$E$100,MATCH(C8,'Raw Data'!$F$5:$F$100,0))</f>
        <v>15580</v>
      </c>
      <c r="F8" s="12" t="n">
        <f aca="false">E8-D8</f>
        <v>580</v>
      </c>
      <c r="G8" s="13" t="n">
        <f aca="false">IFERROR(F8/D8,0)</f>
        <v>0.0386666666666667</v>
      </c>
      <c r="H8" s="14" t="str">
        <f aca="false">IF(G8&gt;0.05,"Over Budget",IF(G8&lt;-0.05,"Under Budget","On Track"))</f>
        <v>On Track</v>
      </c>
      <c r="I8" s="14" t="str">
        <f aca="false">IF(H8="Over Budget","🔴 Over",IF(H8="Under Budget","🟡 Under","🟢 On Track"))</f>
        <v>🟢 On Track</v>
      </c>
    </row>
    <row r="9" customFormat="false" ht="15" hidden="false" customHeight="false" outlineLevel="0" collapsed="false">
      <c r="A9" s="11" t="s">
        <v>17</v>
      </c>
      <c r="B9" s="11" t="s">
        <v>10</v>
      </c>
      <c r="C9" s="8" t="str">
        <f aca="false">A9&amp;"|"&amp;B9</f>
        <v>May-2025|Health Outreach</v>
      </c>
      <c r="D9" s="12" t="n">
        <f aca="false">VLOOKUP(B9,'Raw Data'!$H$6:$I$13,2,FALSE())</f>
        <v>15000</v>
      </c>
      <c r="E9" s="12" t="n">
        <f aca="false">INDEX('Raw Data'!$E$5:$E$100,MATCH(C9,'Raw Data'!$F$5:$F$100,0))</f>
        <v>14840</v>
      </c>
      <c r="F9" s="12" t="n">
        <f aca="false">E9-D9</f>
        <v>-160</v>
      </c>
      <c r="G9" s="13" t="n">
        <f aca="false">IFERROR(F9/D9,0)</f>
        <v>-0.0106666666666667</v>
      </c>
      <c r="H9" s="14" t="str">
        <f aca="false">IF(G9&gt;0.05,"Over Budget",IF(G9&lt;-0.05,"Under Budget","On Track"))</f>
        <v>On Track</v>
      </c>
      <c r="I9" s="14" t="str">
        <f aca="false">IF(H9="Over Budget","🔴 Over",IF(H9="Under Budget","🟡 Under","🟢 On Track"))</f>
        <v>🟢 On Track</v>
      </c>
    </row>
    <row r="10" customFormat="false" ht="15" hidden="false" customHeight="false" outlineLevel="0" collapsed="false">
      <c r="A10" s="11" t="s">
        <v>19</v>
      </c>
      <c r="B10" s="11" t="s">
        <v>10</v>
      </c>
      <c r="C10" s="8" t="str">
        <f aca="false">A10&amp;"|"&amp;B10</f>
        <v>Jun-2025|Health Outreach</v>
      </c>
      <c r="D10" s="12" t="n">
        <f aca="false">VLOOKUP(B10,'Raw Data'!$H$6:$I$13,2,FALSE())</f>
        <v>15000</v>
      </c>
      <c r="E10" s="12" t="n">
        <f aca="false">INDEX('Raw Data'!$E$5:$E$100,MATCH(C10,'Raw Data'!$F$5:$F$100,0))</f>
        <v>14360</v>
      </c>
      <c r="F10" s="12" t="n">
        <f aca="false">E10-D10</f>
        <v>-640</v>
      </c>
      <c r="G10" s="13" t="n">
        <f aca="false">IFERROR(F10/D10,0)</f>
        <v>-0.0426666666666667</v>
      </c>
      <c r="H10" s="14" t="str">
        <f aca="false">IF(G10&gt;0.05,"Over Budget",IF(G10&lt;-0.05,"Under Budget","On Track"))</f>
        <v>On Track</v>
      </c>
      <c r="I10" s="14" t="str">
        <f aca="false">IF(H10="Over Budget","🔴 Over",IF(H10="Under Budget","🟡 Under","🟢 On Track"))</f>
        <v>🟢 On Track</v>
      </c>
    </row>
    <row r="11" customFormat="false" ht="15" hidden="false" customHeight="false" outlineLevel="0" collapsed="false">
      <c r="A11" s="11" t="s">
        <v>21</v>
      </c>
      <c r="B11" s="11" t="s">
        <v>10</v>
      </c>
      <c r="C11" s="8" t="str">
        <f aca="false">A11&amp;"|"&amp;B11</f>
        <v>Jul-2025|Health Outreach</v>
      </c>
      <c r="D11" s="12" t="n">
        <f aca="false">VLOOKUP(B11,'Raw Data'!$H$6:$I$13,2,FALSE())</f>
        <v>15000</v>
      </c>
      <c r="E11" s="12" t="n">
        <f aca="false">INDEX('Raw Data'!$E$5:$E$100,MATCH(C11,'Raw Data'!$F$5:$F$100,0))</f>
        <v>14190</v>
      </c>
      <c r="F11" s="12" t="n">
        <f aca="false">E11-D11</f>
        <v>-810</v>
      </c>
      <c r="G11" s="13" t="n">
        <f aca="false">IFERROR(F11/D11,0)</f>
        <v>-0.054</v>
      </c>
      <c r="H11" s="14" t="str">
        <f aca="false">IF(G11&gt;0.05,"Over Budget",IF(G11&lt;-0.05,"Under Budget","On Track"))</f>
        <v>Under Budget</v>
      </c>
      <c r="I11" s="14" t="str">
        <f aca="false">IF(H11="Over Budget","🔴 Over",IF(H11="Under Budget","🟡 Under","🟢 On Track"))</f>
        <v>🟡 Under</v>
      </c>
    </row>
    <row r="12" customFormat="false" ht="15" hidden="false" customHeight="false" outlineLevel="0" collapsed="false">
      <c r="A12" s="11" t="s">
        <v>23</v>
      </c>
      <c r="B12" s="11" t="s">
        <v>10</v>
      </c>
      <c r="C12" s="8" t="str">
        <f aca="false">A12&amp;"|"&amp;B12</f>
        <v>Aug-2025|Health Outreach</v>
      </c>
      <c r="D12" s="12" t="n">
        <f aca="false">VLOOKUP(B12,'Raw Data'!$H$6:$I$13,2,FALSE())</f>
        <v>15000</v>
      </c>
      <c r="E12" s="12" t="n">
        <f aca="false">INDEX('Raw Data'!$E$5:$E$100,MATCH(C12,'Raw Data'!$F$5:$F$100,0))</f>
        <v>13850</v>
      </c>
      <c r="F12" s="12" t="n">
        <f aca="false">E12-D12</f>
        <v>-1150</v>
      </c>
      <c r="G12" s="13" t="n">
        <f aca="false">IFERROR(F12/D12,0)</f>
        <v>-0.0766666666666667</v>
      </c>
      <c r="H12" s="14" t="str">
        <f aca="false">IF(G12&gt;0.05,"Over Budget",IF(G12&lt;-0.05,"Under Budget","On Track"))</f>
        <v>Under Budget</v>
      </c>
      <c r="I12" s="14" t="str">
        <f aca="false">IF(H12="Over Budget","🔴 Over",IF(H12="Under Budget","🟡 Under","🟢 On Track"))</f>
        <v>🟡 Under</v>
      </c>
    </row>
    <row r="13" customFormat="false" ht="15" hidden="false" customHeight="false" outlineLevel="0" collapsed="false">
      <c r="A13" s="11" t="s">
        <v>25</v>
      </c>
      <c r="B13" s="11" t="s">
        <v>10</v>
      </c>
      <c r="C13" s="8" t="str">
        <f aca="false">A13&amp;"|"&amp;B13</f>
        <v>Sep-2025|Health Outreach</v>
      </c>
      <c r="D13" s="12" t="n">
        <f aca="false">VLOOKUP(B13,'Raw Data'!$H$6:$I$13,2,FALSE())</f>
        <v>15000</v>
      </c>
      <c r="E13" s="12" t="n">
        <f aca="false">INDEX('Raw Data'!$E$5:$E$100,MATCH(C13,'Raw Data'!$F$5:$F$100,0))</f>
        <v>14350</v>
      </c>
      <c r="F13" s="12" t="n">
        <f aca="false">E13-D13</f>
        <v>-650</v>
      </c>
      <c r="G13" s="13" t="n">
        <f aca="false">IFERROR(F13/D13,0)</f>
        <v>-0.0433333333333333</v>
      </c>
      <c r="H13" s="14" t="str">
        <f aca="false">IF(G13&gt;0.05,"Over Budget",IF(G13&lt;-0.05,"Under Budget","On Track"))</f>
        <v>On Track</v>
      </c>
      <c r="I13" s="14" t="str">
        <f aca="false">IF(H13="Over Budget","🔴 Over",IF(H13="Under Budget","🟡 Under","🟢 On Track"))</f>
        <v>🟢 On Track</v>
      </c>
    </row>
    <row r="14" customFormat="false" ht="15" hidden="false" customHeight="false" outlineLevel="0" collapsed="false">
      <c r="A14" s="11" t="s">
        <v>27</v>
      </c>
      <c r="B14" s="11" t="s">
        <v>10</v>
      </c>
      <c r="C14" s="8" t="str">
        <f aca="false">A14&amp;"|"&amp;B14</f>
        <v>Oct-2025|Health Outreach</v>
      </c>
      <c r="D14" s="12" t="n">
        <f aca="false">VLOOKUP(B14,'Raw Data'!$H$6:$I$13,2,FALSE())</f>
        <v>15000</v>
      </c>
      <c r="E14" s="12" t="n">
        <f aca="false">INDEX('Raw Data'!$E$5:$E$100,MATCH(C14,'Raw Data'!$F$5:$F$100,0))</f>
        <v>14570</v>
      </c>
      <c r="F14" s="12" t="n">
        <f aca="false">E14-D14</f>
        <v>-430</v>
      </c>
      <c r="G14" s="13" t="n">
        <f aca="false">IFERROR(F14/D14,0)</f>
        <v>-0.0286666666666667</v>
      </c>
      <c r="H14" s="14" t="str">
        <f aca="false">IF(G14&gt;0.05,"Over Budget",IF(G14&lt;-0.05,"Under Budget","On Track"))</f>
        <v>On Track</v>
      </c>
      <c r="I14" s="14" t="str">
        <f aca="false">IF(H14="Over Budget","🔴 Over",IF(H14="Under Budget","🟡 Under","🟢 On Track"))</f>
        <v>🟢 On Track</v>
      </c>
    </row>
    <row r="15" customFormat="false" ht="15" hidden="false" customHeight="false" outlineLevel="0" collapsed="false">
      <c r="A15" s="11" t="s">
        <v>28</v>
      </c>
      <c r="B15" s="11" t="s">
        <v>10</v>
      </c>
      <c r="C15" s="8" t="str">
        <f aca="false">A15&amp;"|"&amp;B15</f>
        <v>Nov-2025|Health Outreach</v>
      </c>
      <c r="D15" s="12" t="n">
        <f aca="false">VLOOKUP(B15,'Raw Data'!$H$6:$I$13,2,FALSE())</f>
        <v>15000</v>
      </c>
      <c r="E15" s="12" t="n">
        <f aca="false">INDEX('Raw Data'!$E$5:$E$100,MATCH(C15,'Raw Data'!$F$5:$F$100,0))</f>
        <v>14980</v>
      </c>
      <c r="F15" s="12" t="n">
        <f aca="false">E15-D15</f>
        <v>-20</v>
      </c>
      <c r="G15" s="13" t="n">
        <f aca="false">IFERROR(F15/D15,0)</f>
        <v>-0.00133333333333333</v>
      </c>
      <c r="H15" s="14" t="str">
        <f aca="false">IF(G15&gt;0.05,"Over Budget",IF(G15&lt;-0.05,"Under Budget","On Track"))</f>
        <v>On Track</v>
      </c>
      <c r="I15" s="14" t="str">
        <f aca="false">IF(H15="Over Budget","🔴 Over",IF(H15="Under Budget","🟡 Under","🟢 On Track"))</f>
        <v>🟢 On Track</v>
      </c>
    </row>
    <row r="16" customFormat="false" ht="15" hidden="false" customHeight="false" outlineLevel="0" collapsed="false">
      <c r="A16" s="11" t="s">
        <v>29</v>
      </c>
      <c r="B16" s="11" t="s">
        <v>10</v>
      </c>
      <c r="C16" s="8" t="str">
        <f aca="false">A16&amp;"|"&amp;B16</f>
        <v>Dec-2025|Health Outreach</v>
      </c>
      <c r="D16" s="12" t="n">
        <f aca="false">VLOOKUP(B16,'Raw Data'!$H$6:$I$13,2,FALSE())</f>
        <v>15000</v>
      </c>
      <c r="E16" s="12" t="n">
        <f aca="false">INDEX('Raw Data'!$E$5:$E$100,MATCH(C16,'Raw Data'!$F$5:$F$100,0))</f>
        <v>15450</v>
      </c>
      <c r="F16" s="12" t="n">
        <f aca="false">E16-D16</f>
        <v>450</v>
      </c>
      <c r="G16" s="13" t="n">
        <f aca="false">IFERROR(F16/D16,0)</f>
        <v>0.03</v>
      </c>
      <c r="H16" s="14" t="str">
        <f aca="false">IF(G16&gt;0.05,"Over Budget",IF(G16&lt;-0.05,"Under Budget","On Track"))</f>
        <v>On Track</v>
      </c>
      <c r="I16" s="14" t="str">
        <f aca="false">IF(H16="Over Budget","🔴 Over",IF(H16="Under Budget","🟡 Under","🟢 On Track"))</f>
        <v>🟢 On Track</v>
      </c>
    </row>
    <row r="17" customFormat="false" ht="15" hidden="false" customHeight="false" outlineLevel="0" collapsed="false">
      <c r="A17" s="11" t="s">
        <v>9</v>
      </c>
      <c r="B17" s="11" t="s">
        <v>14</v>
      </c>
      <c r="C17" s="8" t="str">
        <f aca="false">A17&amp;"|"&amp;B17</f>
        <v>Jan-2025|WASH (Water, Sanitation &amp; Hygiene)</v>
      </c>
      <c r="D17" s="12" t="n">
        <f aca="false">VLOOKUP(B17,'Raw Data'!$H$6:$I$13,2,FALSE())</f>
        <v>10000</v>
      </c>
      <c r="E17" s="12" t="n">
        <f aca="false">INDEX('Raw Data'!$E$5:$E$100,MATCH(C17,'Raw Data'!$F$5:$F$100,0))</f>
        <v>8810</v>
      </c>
      <c r="F17" s="12" t="n">
        <f aca="false">E17-D17</f>
        <v>-1190</v>
      </c>
      <c r="G17" s="13" t="n">
        <f aca="false">IFERROR(F17/D17,0)</f>
        <v>-0.119</v>
      </c>
      <c r="H17" s="14" t="str">
        <f aca="false">IF(G17&gt;0.05,"Over Budget",IF(G17&lt;-0.05,"Under Budget","On Track"))</f>
        <v>Under Budget</v>
      </c>
      <c r="I17" s="14" t="str">
        <f aca="false">IF(H17="Over Budget","🔴 Over",IF(H17="Under Budget","🟡 Under","🟢 On Track"))</f>
        <v>🟡 Under</v>
      </c>
    </row>
    <row r="18" customFormat="false" ht="15" hidden="false" customHeight="false" outlineLevel="0" collapsed="false">
      <c r="A18" s="11" t="s">
        <v>12</v>
      </c>
      <c r="B18" s="11" t="s">
        <v>14</v>
      </c>
      <c r="C18" s="8" t="str">
        <f aca="false">A18&amp;"|"&amp;B18</f>
        <v>Feb-2025|WASH (Water, Sanitation &amp; Hygiene)</v>
      </c>
      <c r="D18" s="12" t="n">
        <f aca="false">VLOOKUP(B18,'Raw Data'!$H$6:$I$13,2,FALSE())</f>
        <v>10000</v>
      </c>
      <c r="E18" s="12" t="n">
        <f aca="false">INDEX('Raw Data'!$E$5:$E$100,MATCH(C18,'Raw Data'!$F$5:$F$100,0))</f>
        <v>8680</v>
      </c>
      <c r="F18" s="12" t="n">
        <f aca="false">E18-D18</f>
        <v>-1320</v>
      </c>
      <c r="G18" s="13" t="n">
        <f aca="false">IFERROR(F18/D18,0)</f>
        <v>-0.132</v>
      </c>
      <c r="H18" s="14" t="str">
        <f aca="false">IF(G18&gt;0.05,"Over Budget",IF(G18&lt;-0.05,"Under Budget","On Track"))</f>
        <v>Under Budget</v>
      </c>
      <c r="I18" s="14" t="str">
        <f aca="false">IF(H18="Over Budget","🔴 Over",IF(H18="Under Budget","🟡 Under","🟢 On Track"))</f>
        <v>🟡 Under</v>
      </c>
    </row>
    <row r="19" customFormat="false" ht="15" hidden="false" customHeight="false" outlineLevel="0" collapsed="false">
      <c r="A19" s="11" t="s">
        <v>13</v>
      </c>
      <c r="B19" s="11" t="s">
        <v>14</v>
      </c>
      <c r="C19" s="8" t="str">
        <f aca="false">A19&amp;"|"&amp;B19</f>
        <v>Mar-2025|WASH (Water, Sanitation &amp; Hygiene)</v>
      </c>
      <c r="D19" s="12" t="n">
        <f aca="false">VLOOKUP(B19,'Raw Data'!$H$6:$I$13,2,FALSE())</f>
        <v>10000</v>
      </c>
      <c r="E19" s="12" t="n">
        <f aca="false">INDEX('Raw Data'!$E$5:$E$100,MATCH(C19,'Raw Data'!$F$5:$F$100,0))</f>
        <v>9160</v>
      </c>
      <c r="F19" s="12" t="n">
        <f aca="false">E19-D19</f>
        <v>-840</v>
      </c>
      <c r="G19" s="13" t="n">
        <f aca="false">IFERROR(F19/D19,0)</f>
        <v>-0.084</v>
      </c>
      <c r="H19" s="14" t="str">
        <f aca="false">IF(G19&gt;0.05,"Over Budget",IF(G19&lt;-0.05,"Under Budget","On Track"))</f>
        <v>Under Budget</v>
      </c>
      <c r="I19" s="14" t="str">
        <f aca="false">IF(H19="Over Budget","🔴 Over",IF(H19="Under Budget","🟡 Under","🟢 On Track"))</f>
        <v>🟡 Under</v>
      </c>
    </row>
    <row r="20" customFormat="false" ht="15" hidden="false" customHeight="false" outlineLevel="0" collapsed="false">
      <c r="A20" s="11" t="s">
        <v>15</v>
      </c>
      <c r="B20" s="11" t="s">
        <v>14</v>
      </c>
      <c r="C20" s="8" t="str">
        <f aca="false">A20&amp;"|"&amp;B20</f>
        <v>Apr-2025|WASH (Water, Sanitation &amp; Hygiene)</v>
      </c>
      <c r="D20" s="12" t="n">
        <f aca="false">VLOOKUP(B20,'Raw Data'!$H$6:$I$13,2,FALSE())</f>
        <v>10000</v>
      </c>
      <c r="E20" s="12" t="n">
        <f aca="false">INDEX('Raw Data'!$E$5:$E$100,MATCH(C20,'Raw Data'!$F$5:$F$100,0))</f>
        <v>9320</v>
      </c>
      <c r="F20" s="12" t="n">
        <f aca="false">E20-D20</f>
        <v>-680</v>
      </c>
      <c r="G20" s="13" t="n">
        <f aca="false">IFERROR(F20/D20,0)</f>
        <v>-0.068</v>
      </c>
      <c r="H20" s="14" t="str">
        <f aca="false">IF(G20&gt;0.05,"Over Budget",IF(G20&lt;-0.05,"Under Budget","On Track"))</f>
        <v>Under Budget</v>
      </c>
      <c r="I20" s="14" t="str">
        <f aca="false">IF(H20="Over Budget","🔴 Over",IF(H20="Under Budget","🟡 Under","🟢 On Track"))</f>
        <v>🟡 Under</v>
      </c>
    </row>
    <row r="21" customFormat="false" ht="15" hidden="false" customHeight="false" outlineLevel="0" collapsed="false">
      <c r="A21" s="11" t="s">
        <v>17</v>
      </c>
      <c r="B21" s="11" t="s">
        <v>14</v>
      </c>
      <c r="C21" s="8" t="str">
        <f aca="false">A21&amp;"|"&amp;B21</f>
        <v>May-2025|WASH (Water, Sanitation &amp; Hygiene)</v>
      </c>
      <c r="D21" s="12" t="n">
        <f aca="false">VLOOKUP(B21,'Raw Data'!$H$6:$I$13,2,FALSE())</f>
        <v>10000</v>
      </c>
      <c r="E21" s="12" t="n">
        <f aca="false">INDEX('Raw Data'!$E$5:$E$100,MATCH(C21,'Raw Data'!$F$5:$F$100,0))</f>
        <v>8790</v>
      </c>
      <c r="F21" s="12" t="n">
        <f aca="false">E21-D21</f>
        <v>-1210</v>
      </c>
      <c r="G21" s="13" t="n">
        <f aca="false">IFERROR(F21/D21,0)</f>
        <v>-0.121</v>
      </c>
      <c r="H21" s="14" t="str">
        <f aca="false">IF(G21&gt;0.05,"Over Budget",IF(G21&lt;-0.05,"Under Budget","On Track"))</f>
        <v>Under Budget</v>
      </c>
      <c r="I21" s="14" t="str">
        <f aca="false">IF(H21="Over Budget","🔴 Over",IF(H21="Under Budget","🟡 Under","🟢 On Track"))</f>
        <v>🟡 Under</v>
      </c>
    </row>
    <row r="22" customFormat="false" ht="15" hidden="false" customHeight="false" outlineLevel="0" collapsed="false">
      <c r="A22" s="11" t="s">
        <v>19</v>
      </c>
      <c r="B22" s="11" t="s">
        <v>14</v>
      </c>
      <c r="C22" s="8" t="str">
        <f aca="false">A22&amp;"|"&amp;B22</f>
        <v>Jun-2025|WASH (Water, Sanitation &amp; Hygiene)</v>
      </c>
      <c r="D22" s="12" t="n">
        <f aca="false">VLOOKUP(B22,'Raw Data'!$H$6:$I$13,2,FALSE())</f>
        <v>10000</v>
      </c>
      <c r="E22" s="12" t="n">
        <f aca="false">INDEX('Raw Data'!$E$5:$E$100,MATCH(C22,'Raw Data'!$F$5:$F$100,0))</f>
        <v>9240</v>
      </c>
      <c r="F22" s="12" t="n">
        <f aca="false">E22-D22</f>
        <v>-760</v>
      </c>
      <c r="G22" s="13" t="n">
        <f aca="false">IFERROR(F22/D22,0)</f>
        <v>-0.076</v>
      </c>
      <c r="H22" s="14" t="str">
        <f aca="false">IF(G22&gt;0.05,"Over Budget",IF(G22&lt;-0.05,"Under Budget","On Track"))</f>
        <v>Under Budget</v>
      </c>
      <c r="I22" s="14" t="str">
        <f aca="false">IF(H22="Over Budget","🔴 Over",IF(H22="Under Budget","🟡 Under","🟢 On Track"))</f>
        <v>🟡 Under</v>
      </c>
    </row>
    <row r="23" customFormat="false" ht="15" hidden="false" customHeight="false" outlineLevel="0" collapsed="false">
      <c r="A23" s="11" t="s">
        <v>21</v>
      </c>
      <c r="B23" s="11" t="s">
        <v>14</v>
      </c>
      <c r="C23" s="8" t="str">
        <f aca="false">A23&amp;"|"&amp;B23</f>
        <v>Jul-2025|WASH (Water, Sanitation &amp; Hygiene)</v>
      </c>
      <c r="D23" s="12" t="n">
        <f aca="false">VLOOKUP(B23,'Raw Data'!$H$6:$I$13,2,FALSE())</f>
        <v>10000</v>
      </c>
      <c r="E23" s="12" t="n">
        <f aca="false">INDEX('Raw Data'!$E$5:$E$100,MATCH(C23,'Raw Data'!$F$5:$F$100,0))</f>
        <v>9120</v>
      </c>
      <c r="F23" s="12" t="n">
        <f aca="false">E23-D23</f>
        <v>-880</v>
      </c>
      <c r="G23" s="13" t="n">
        <f aca="false">IFERROR(F23/D23,0)</f>
        <v>-0.088</v>
      </c>
      <c r="H23" s="14" t="str">
        <f aca="false">IF(G23&gt;0.05,"Over Budget",IF(G23&lt;-0.05,"Under Budget","On Track"))</f>
        <v>Under Budget</v>
      </c>
      <c r="I23" s="14" t="str">
        <f aca="false">IF(H23="Over Budget","🔴 Over",IF(H23="Under Budget","🟡 Under","🟢 On Track"))</f>
        <v>🟡 Under</v>
      </c>
    </row>
    <row r="24" customFormat="false" ht="15" hidden="false" customHeight="false" outlineLevel="0" collapsed="false">
      <c r="A24" s="11" t="s">
        <v>23</v>
      </c>
      <c r="B24" s="11" t="s">
        <v>14</v>
      </c>
      <c r="C24" s="8" t="str">
        <f aca="false">A24&amp;"|"&amp;B24</f>
        <v>Aug-2025|WASH (Water, Sanitation &amp; Hygiene)</v>
      </c>
      <c r="D24" s="12" t="n">
        <f aca="false">VLOOKUP(B24,'Raw Data'!$H$6:$I$13,2,FALSE())</f>
        <v>10000</v>
      </c>
      <c r="E24" s="12" t="n">
        <f aca="false">INDEX('Raw Data'!$E$5:$E$100,MATCH(C24,'Raw Data'!$F$5:$F$100,0))</f>
        <v>9200</v>
      </c>
      <c r="F24" s="12" t="n">
        <f aca="false">E24-D24</f>
        <v>-800</v>
      </c>
      <c r="G24" s="13" t="n">
        <f aca="false">IFERROR(F24/D24,0)</f>
        <v>-0.08</v>
      </c>
      <c r="H24" s="14" t="str">
        <f aca="false">IF(G24&gt;0.05,"Over Budget",IF(G24&lt;-0.05,"Under Budget","On Track"))</f>
        <v>Under Budget</v>
      </c>
      <c r="I24" s="14" t="str">
        <f aca="false">IF(H24="Over Budget","🔴 Over",IF(H24="Under Budget","🟡 Under","🟢 On Track"))</f>
        <v>🟡 Under</v>
      </c>
    </row>
    <row r="25" customFormat="false" ht="15" hidden="false" customHeight="false" outlineLevel="0" collapsed="false">
      <c r="A25" s="11" t="s">
        <v>25</v>
      </c>
      <c r="B25" s="11" t="s">
        <v>14</v>
      </c>
      <c r="C25" s="8" t="str">
        <f aca="false">A25&amp;"|"&amp;B25</f>
        <v>Sep-2025|WASH (Water, Sanitation &amp; Hygiene)</v>
      </c>
      <c r="D25" s="12" t="n">
        <f aca="false">VLOOKUP(B25,'Raw Data'!$H$6:$I$13,2,FALSE())</f>
        <v>10000</v>
      </c>
      <c r="E25" s="12" t="n">
        <f aca="false">INDEX('Raw Data'!$E$5:$E$100,MATCH(C25,'Raw Data'!$F$5:$F$100,0))</f>
        <v>9220</v>
      </c>
      <c r="F25" s="12" t="n">
        <f aca="false">E25-D25</f>
        <v>-780</v>
      </c>
      <c r="G25" s="13" t="n">
        <f aca="false">IFERROR(F25/D25,0)</f>
        <v>-0.078</v>
      </c>
      <c r="H25" s="14" t="str">
        <f aca="false">IF(G25&gt;0.05,"Over Budget",IF(G25&lt;-0.05,"Under Budget","On Track"))</f>
        <v>Under Budget</v>
      </c>
      <c r="I25" s="14" t="str">
        <f aca="false">IF(H25="Over Budget","🔴 Over",IF(H25="Under Budget","🟡 Under","🟢 On Track"))</f>
        <v>🟡 Under</v>
      </c>
    </row>
    <row r="26" customFormat="false" ht="15" hidden="false" customHeight="false" outlineLevel="0" collapsed="false">
      <c r="A26" s="11" t="s">
        <v>27</v>
      </c>
      <c r="B26" s="11" t="s">
        <v>14</v>
      </c>
      <c r="C26" s="8" t="str">
        <f aca="false">A26&amp;"|"&amp;B26</f>
        <v>Oct-2025|WASH (Water, Sanitation &amp; Hygiene)</v>
      </c>
      <c r="D26" s="12" t="n">
        <f aca="false">VLOOKUP(B26,'Raw Data'!$H$6:$I$13,2,FALSE())</f>
        <v>10000</v>
      </c>
      <c r="E26" s="12" t="n">
        <f aca="false">INDEX('Raw Data'!$E$5:$E$100,MATCH(C26,'Raw Data'!$F$5:$F$100,0))</f>
        <v>9380</v>
      </c>
      <c r="F26" s="12" t="n">
        <f aca="false">E26-D26</f>
        <v>-620</v>
      </c>
      <c r="G26" s="13" t="n">
        <f aca="false">IFERROR(F26/D26,0)</f>
        <v>-0.062</v>
      </c>
      <c r="H26" s="14" t="str">
        <f aca="false">IF(G26&gt;0.05,"Over Budget",IF(G26&lt;-0.05,"Under Budget","On Track"))</f>
        <v>Under Budget</v>
      </c>
      <c r="I26" s="14" t="str">
        <f aca="false">IF(H26="Over Budget","🔴 Over",IF(H26="Under Budget","🟡 Under","🟢 On Track"))</f>
        <v>🟡 Under</v>
      </c>
    </row>
    <row r="27" customFormat="false" ht="15" hidden="false" customHeight="false" outlineLevel="0" collapsed="false">
      <c r="A27" s="11" t="s">
        <v>28</v>
      </c>
      <c r="B27" s="11" t="s">
        <v>14</v>
      </c>
      <c r="C27" s="8" t="str">
        <f aca="false">A27&amp;"|"&amp;B27</f>
        <v>Nov-2025|WASH (Water, Sanitation &amp; Hygiene)</v>
      </c>
      <c r="D27" s="12" t="n">
        <f aca="false">VLOOKUP(B27,'Raw Data'!$H$6:$I$13,2,FALSE())</f>
        <v>10000</v>
      </c>
      <c r="E27" s="12" t="n">
        <f aca="false">INDEX('Raw Data'!$E$5:$E$100,MATCH(C27,'Raw Data'!$F$5:$F$100,0))</f>
        <v>8940</v>
      </c>
      <c r="F27" s="12" t="n">
        <f aca="false">E27-D27</f>
        <v>-1060</v>
      </c>
      <c r="G27" s="13" t="n">
        <f aca="false">IFERROR(F27/D27,0)</f>
        <v>-0.106</v>
      </c>
      <c r="H27" s="14" t="str">
        <f aca="false">IF(G27&gt;0.05,"Over Budget",IF(G27&lt;-0.05,"Under Budget","On Track"))</f>
        <v>Under Budget</v>
      </c>
      <c r="I27" s="14" t="str">
        <f aca="false">IF(H27="Over Budget","🔴 Over",IF(H27="Under Budget","🟡 Under","🟢 On Track"))</f>
        <v>🟡 Under</v>
      </c>
    </row>
    <row r="28" customFormat="false" ht="15" hidden="false" customHeight="false" outlineLevel="0" collapsed="false">
      <c r="A28" s="11" t="s">
        <v>29</v>
      </c>
      <c r="B28" s="11" t="s">
        <v>14</v>
      </c>
      <c r="C28" s="8" t="str">
        <f aca="false">A28&amp;"|"&amp;B28</f>
        <v>Dec-2025|WASH (Water, Sanitation &amp; Hygiene)</v>
      </c>
      <c r="D28" s="12" t="n">
        <f aca="false">VLOOKUP(B28,'Raw Data'!$H$6:$I$13,2,FALSE())</f>
        <v>10000</v>
      </c>
      <c r="E28" s="12" t="n">
        <f aca="false">INDEX('Raw Data'!$E$5:$E$100,MATCH(C28,'Raw Data'!$F$5:$F$100,0))</f>
        <v>9060</v>
      </c>
      <c r="F28" s="12" t="n">
        <f aca="false">E28-D28</f>
        <v>-940</v>
      </c>
      <c r="G28" s="13" t="n">
        <f aca="false">IFERROR(F28/D28,0)</f>
        <v>-0.094</v>
      </c>
      <c r="H28" s="14" t="str">
        <f aca="false">IF(G28&gt;0.05,"Over Budget",IF(G28&lt;-0.05,"Under Budget","On Track"))</f>
        <v>Under Budget</v>
      </c>
      <c r="I28" s="14" t="str">
        <f aca="false">IF(H28="Over Budget","🔴 Over",IF(H28="Under Budget","🟡 Under","🟢 On Track"))</f>
        <v>🟡 Under</v>
      </c>
    </row>
    <row r="29" customFormat="false" ht="15" hidden="false" customHeight="false" outlineLevel="0" collapsed="false">
      <c r="A29" s="11" t="s">
        <v>9</v>
      </c>
      <c r="B29" s="11" t="s">
        <v>16</v>
      </c>
      <c r="C29" s="8" t="str">
        <f aca="false">A29&amp;"|"&amp;B29</f>
        <v>Jan-2025|Education &amp; Training</v>
      </c>
      <c r="D29" s="12" t="n">
        <f aca="false">VLOOKUP(B29,'Raw Data'!$H$6:$I$13,2,FALSE())</f>
        <v>9000</v>
      </c>
      <c r="E29" s="12" t="n">
        <f aca="false">INDEX('Raw Data'!$E$5:$E$100,MATCH(C29,'Raw Data'!$F$5:$F$100,0))</f>
        <v>8890</v>
      </c>
      <c r="F29" s="12" t="n">
        <f aca="false">E29-D29</f>
        <v>-110</v>
      </c>
      <c r="G29" s="13" t="n">
        <f aca="false">IFERROR(F29/D29,0)</f>
        <v>-0.0122222222222222</v>
      </c>
      <c r="H29" s="14" t="str">
        <f aca="false">IF(G29&gt;0.05,"Over Budget",IF(G29&lt;-0.05,"Under Budget","On Track"))</f>
        <v>On Track</v>
      </c>
      <c r="I29" s="14" t="str">
        <f aca="false">IF(H29="Over Budget","🔴 Over",IF(H29="Under Budget","🟡 Under","🟢 On Track"))</f>
        <v>🟢 On Track</v>
      </c>
    </row>
    <row r="30" customFormat="false" ht="15" hidden="false" customHeight="false" outlineLevel="0" collapsed="false">
      <c r="A30" s="11" t="s">
        <v>12</v>
      </c>
      <c r="B30" s="11" t="s">
        <v>16</v>
      </c>
      <c r="C30" s="8" t="str">
        <f aca="false">A30&amp;"|"&amp;B30</f>
        <v>Feb-2025|Education &amp; Training</v>
      </c>
      <c r="D30" s="12" t="n">
        <f aca="false">VLOOKUP(B30,'Raw Data'!$H$6:$I$13,2,FALSE())</f>
        <v>9000</v>
      </c>
      <c r="E30" s="12" t="n">
        <f aca="false">INDEX('Raw Data'!$E$5:$E$100,MATCH(C30,'Raw Data'!$F$5:$F$100,0))</f>
        <v>8850</v>
      </c>
      <c r="F30" s="12" t="n">
        <f aca="false">E30-D30</f>
        <v>-150</v>
      </c>
      <c r="G30" s="13" t="n">
        <f aca="false">IFERROR(F30/D30,0)</f>
        <v>-0.0166666666666667</v>
      </c>
      <c r="H30" s="14" t="str">
        <f aca="false">IF(G30&gt;0.05,"Over Budget",IF(G30&lt;-0.05,"Under Budget","On Track"))</f>
        <v>On Track</v>
      </c>
      <c r="I30" s="14" t="str">
        <f aca="false">IF(H30="Over Budget","🔴 Over",IF(H30="Under Budget","🟡 Under","🟢 On Track"))</f>
        <v>🟢 On Track</v>
      </c>
    </row>
    <row r="31" customFormat="false" ht="15" hidden="false" customHeight="false" outlineLevel="0" collapsed="false">
      <c r="A31" s="11" t="s">
        <v>13</v>
      </c>
      <c r="B31" s="11" t="s">
        <v>16</v>
      </c>
      <c r="C31" s="8" t="str">
        <f aca="false">A31&amp;"|"&amp;B31</f>
        <v>Mar-2025|Education &amp; Training</v>
      </c>
      <c r="D31" s="12" t="n">
        <f aca="false">VLOOKUP(B31,'Raw Data'!$H$6:$I$13,2,FALSE())</f>
        <v>9000</v>
      </c>
      <c r="E31" s="12" t="n">
        <f aca="false">INDEX('Raw Data'!$E$5:$E$100,MATCH(C31,'Raw Data'!$F$5:$F$100,0))</f>
        <v>8940</v>
      </c>
      <c r="F31" s="12" t="n">
        <f aca="false">E31-D31</f>
        <v>-60</v>
      </c>
      <c r="G31" s="13" t="n">
        <f aca="false">IFERROR(F31/D31,0)</f>
        <v>-0.00666666666666667</v>
      </c>
      <c r="H31" s="14" t="str">
        <f aca="false">IF(G31&gt;0.05,"Over Budget",IF(G31&lt;-0.05,"Under Budget","On Track"))</f>
        <v>On Track</v>
      </c>
      <c r="I31" s="14" t="str">
        <f aca="false">IF(H31="Over Budget","🔴 Over",IF(H31="Under Budget","🟡 Under","🟢 On Track"))</f>
        <v>🟢 On Track</v>
      </c>
    </row>
    <row r="32" customFormat="false" ht="15" hidden="false" customHeight="false" outlineLevel="0" collapsed="false">
      <c r="A32" s="11" t="s">
        <v>15</v>
      </c>
      <c r="B32" s="11" t="s">
        <v>16</v>
      </c>
      <c r="C32" s="8" t="str">
        <f aca="false">A32&amp;"|"&amp;B32</f>
        <v>Apr-2025|Education &amp; Training</v>
      </c>
      <c r="D32" s="12" t="n">
        <f aca="false">VLOOKUP(B32,'Raw Data'!$H$6:$I$13,2,FALSE())</f>
        <v>9000</v>
      </c>
      <c r="E32" s="12" t="n">
        <f aca="false">INDEX('Raw Data'!$E$5:$E$100,MATCH(C32,'Raw Data'!$F$5:$F$100,0))</f>
        <v>8670</v>
      </c>
      <c r="F32" s="12" t="n">
        <f aca="false">E32-D32</f>
        <v>-330</v>
      </c>
      <c r="G32" s="13" t="n">
        <f aca="false">IFERROR(F32/D32,0)</f>
        <v>-0.0366666666666667</v>
      </c>
      <c r="H32" s="14" t="str">
        <f aca="false">IF(G32&gt;0.05,"Over Budget",IF(G32&lt;-0.05,"Under Budget","On Track"))</f>
        <v>On Track</v>
      </c>
      <c r="I32" s="14" t="str">
        <f aca="false">IF(H32="Over Budget","🔴 Over",IF(H32="Under Budget","🟡 Under","🟢 On Track"))</f>
        <v>🟢 On Track</v>
      </c>
    </row>
    <row r="33" customFormat="false" ht="15" hidden="false" customHeight="false" outlineLevel="0" collapsed="false">
      <c r="A33" s="11" t="s">
        <v>17</v>
      </c>
      <c r="B33" s="11" t="s">
        <v>16</v>
      </c>
      <c r="C33" s="8" t="str">
        <f aca="false">A33&amp;"|"&amp;B33</f>
        <v>May-2025|Education &amp; Training</v>
      </c>
      <c r="D33" s="12" t="n">
        <f aca="false">VLOOKUP(B33,'Raw Data'!$H$6:$I$13,2,FALSE())</f>
        <v>9000</v>
      </c>
      <c r="E33" s="12" t="n">
        <f aca="false">INDEX('Raw Data'!$E$5:$E$100,MATCH(C33,'Raw Data'!$F$5:$F$100,0))</f>
        <v>9130</v>
      </c>
      <c r="F33" s="12" t="n">
        <f aca="false">E33-D33</f>
        <v>130</v>
      </c>
      <c r="G33" s="13" t="n">
        <f aca="false">IFERROR(F33/D33,0)</f>
        <v>0.0144444444444444</v>
      </c>
      <c r="H33" s="14" t="str">
        <f aca="false">IF(G33&gt;0.05,"Over Budget",IF(G33&lt;-0.05,"Under Budget","On Track"))</f>
        <v>On Track</v>
      </c>
      <c r="I33" s="14" t="str">
        <f aca="false">IF(H33="Over Budget","🔴 Over",IF(H33="Under Budget","🟡 Under","🟢 On Track"))</f>
        <v>🟢 On Track</v>
      </c>
    </row>
    <row r="34" customFormat="false" ht="15" hidden="false" customHeight="false" outlineLevel="0" collapsed="false">
      <c r="A34" s="11" t="s">
        <v>19</v>
      </c>
      <c r="B34" s="11" t="s">
        <v>16</v>
      </c>
      <c r="C34" s="8" t="str">
        <f aca="false">A34&amp;"|"&amp;B34</f>
        <v>Jun-2025|Education &amp; Training</v>
      </c>
      <c r="D34" s="12" t="n">
        <f aca="false">VLOOKUP(B34,'Raw Data'!$H$6:$I$13,2,FALSE())</f>
        <v>9000</v>
      </c>
      <c r="E34" s="12" t="n">
        <f aca="false">INDEX('Raw Data'!$E$5:$E$100,MATCH(C34,'Raw Data'!$F$5:$F$100,0))</f>
        <v>8680</v>
      </c>
      <c r="F34" s="12" t="n">
        <f aca="false">E34-D34</f>
        <v>-320</v>
      </c>
      <c r="G34" s="13" t="n">
        <f aca="false">IFERROR(F34/D34,0)</f>
        <v>-0.0355555555555556</v>
      </c>
      <c r="H34" s="14" t="str">
        <f aca="false">IF(G34&gt;0.05,"Over Budget",IF(G34&lt;-0.05,"Under Budget","On Track"))</f>
        <v>On Track</v>
      </c>
      <c r="I34" s="14" t="str">
        <f aca="false">IF(H34="Over Budget","🔴 Over",IF(H34="Under Budget","🟡 Under","🟢 On Track"))</f>
        <v>🟢 On Track</v>
      </c>
    </row>
    <row r="35" customFormat="false" ht="15" hidden="false" customHeight="false" outlineLevel="0" collapsed="false">
      <c r="A35" s="11" t="s">
        <v>21</v>
      </c>
      <c r="B35" s="11" t="s">
        <v>16</v>
      </c>
      <c r="C35" s="8" t="str">
        <f aca="false">A35&amp;"|"&amp;B35</f>
        <v>Jul-2025|Education &amp; Training</v>
      </c>
      <c r="D35" s="12" t="n">
        <f aca="false">VLOOKUP(B35,'Raw Data'!$H$6:$I$13,2,FALSE())</f>
        <v>9000</v>
      </c>
      <c r="E35" s="12" t="n">
        <f aca="false">INDEX('Raw Data'!$E$5:$E$100,MATCH(C35,'Raw Data'!$F$5:$F$100,0))</f>
        <v>8570</v>
      </c>
      <c r="F35" s="12" t="n">
        <f aca="false">E35-D35</f>
        <v>-430</v>
      </c>
      <c r="G35" s="13" t="n">
        <f aca="false">IFERROR(F35/D35,0)</f>
        <v>-0.0477777777777778</v>
      </c>
      <c r="H35" s="14" t="str">
        <f aca="false">IF(G35&gt;0.05,"Over Budget",IF(G35&lt;-0.05,"Under Budget","On Track"))</f>
        <v>On Track</v>
      </c>
      <c r="I35" s="14" t="str">
        <f aca="false">IF(H35="Over Budget","🔴 Over",IF(H35="Under Budget","🟡 Under","🟢 On Track"))</f>
        <v>🟢 On Track</v>
      </c>
    </row>
    <row r="36" customFormat="false" ht="15" hidden="false" customHeight="false" outlineLevel="0" collapsed="false">
      <c r="A36" s="11" t="s">
        <v>23</v>
      </c>
      <c r="B36" s="11" t="s">
        <v>16</v>
      </c>
      <c r="C36" s="8" t="str">
        <f aca="false">A36&amp;"|"&amp;B36</f>
        <v>Aug-2025|Education &amp; Training</v>
      </c>
      <c r="D36" s="12" t="n">
        <f aca="false">VLOOKUP(B36,'Raw Data'!$H$6:$I$13,2,FALSE())</f>
        <v>9000</v>
      </c>
      <c r="E36" s="12" t="n">
        <f aca="false">INDEX('Raw Data'!$E$5:$E$100,MATCH(C36,'Raw Data'!$F$5:$F$100,0))</f>
        <v>10430</v>
      </c>
      <c r="F36" s="12" t="n">
        <f aca="false">E36-D36</f>
        <v>1430</v>
      </c>
      <c r="G36" s="13" t="n">
        <f aca="false">IFERROR(F36/D36,0)</f>
        <v>0.158888888888889</v>
      </c>
      <c r="H36" s="14" t="str">
        <f aca="false">IF(G36&gt;0.05,"Over Budget",IF(G36&lt;-0.05,"Under Budget","On Track"))</f>
        <v>Over Budget</v>
      </c>
      <c r="I36" s="14" t="str">
        <f aca="false">IF(H36="Over Budget","🔴 Over",IF(H36="Under Budget","🟡 Under","🟢 On Track"))</f>
        <v>🔴 Over</v>
      </c>
    </row>
    <row r="37" customFormat="false" ht="15" hidden="false" customHeight="false" outlineLevel="0" collapsed="false">
      <c r="A37" s="11" t="s">
        <v>25</v>
      </c>
      <c r="B37" s="11" t="s">
        <v>16</v>
      </c>
      <c r="C37" s="8" t="str">
        <f aca="false">A37&amp;"|"&amp;B37</f>
        <v>Sep-2025|Education &amp; Training</v>
      </c>
      <c r="D37" s="12" t="n">
        <f aca="false">VLOOKUP(B37,'Raw Data'!$H$6:$I$13,2,FALSE())</f>
        <v>9000</v>
      </c>
      <c r="E37" s="12" t="n">
        <f aca="false">INDEX('Raw Data'!$E$5:$E$100,MATCH(C37,'Raw Data'!$F$5:$F$100,0))</f>
        <v>10810</v>
      </c>
      <c r="F37" s="12" t="n">
        <f aca="false">E37-D37</f>
        <v>1810</v>
      </c>
      <c r="G37" s="13" t="n">
        <f aca="false">IFERROR(F37/D37,0)</f>
        <v>0.201111111111111</v>
      </c>
      <c r="H37" s="14" t="str">
        <f aca="false">IF(G37&gt;0.05,"Over Budget",IF(G37&lt;-0.05,"Under Budget","On Track"))</f>
        <v>Over Budget</v>
      </c>
      <c r="I37" s="14" t="str">
        <f aca="false">IF(H37="Over Budget","🔴 Over",IF(H37="Under Budget","🟡 Under","🟢 On Track"))</f>
        <v>🔴 Over</v>
      </c>
    </row>
    <row r="38" customFormat="false" ht="15" hidden="false" customHeight="false" outlineLevel="0" collapsed="false">
      <c r="A38" s="11" t="s">
        <v>27</v>
      </c>
      <c r="B38" s="11" t="s">
        <v>16</v>
      </c>
      <c r="C38" s="8" t="str">
        <f aca="false">A38&amp;"|"&amp;B38</f>
        <v>Oct-2025|Education &amp; Training</v>
      </c>
      <c r="D38" s="12" t="n">
        <f aca="false">VLOOKUP(B38,'Raw Data'!$H$6:$I$13,2,FALSE())</f>
        <v>9000</v>
      </c>
      <c r="E38" s="12" t="n">
        <f aca="false">INDEX('Raw Data'!$E$5:$E$100,MATCH(C38,'Raw Data'!$F$5:$F$100,0))</f>
        <v>9350</v>
      </c>
      <c r="F38" s="12" t="n">
        <f aca="false">E38-D38</f>
        <v>350</v>
      </c>
      <c r="G38" s="13" t="n">
        <f aca="false">IFERROR(F38/D38,0)</f>
        <v>0.0388888888888889</v>
      </c>
      <c r="H38" s="14" t="str">
        <f aca="false">IF(G38&gt;0.05,"Over Budget",IF(G38&lt;-0.05,"Under Budget","On Track"))</f>
        <v>On Track</v>
      </c>
      <c r="I38" s="14" t="str">
        <f aca="false">IF(H38="Over Budget","🔴 Over",IF(H38="Under Budget","🟡 Under","🟢 On Track"))</f>
        <v>🟢 On Track</v>
      </c>
    </row>
    <row r="39" customFormat="false" ht="15" hidden="false" customHeight="false" outlineLevel="0" collapsed="false">
      <c r="A39" s="11" t="s">
        <v>28</v>
      </c>
      <c r="B39" s="11" t="s">
        <v>16</v>
      </c>
      <c r="C39" s="8" t="str">
        <f aca="false">A39&amp;"|"&amp;B39</f>
        <v>Nov-2025|Education &amp; Training</v>
      </c>
      <c r="D39" s="12" t="n">
        <f aca="false">VLOOKUP(B39,'Raw Data'!$H$6:$I$13,2,FALSE())</f>
        <v>9000</v>
      </c>
      <c r="E39" s="12" t="n">
        <f aca="false">INDEX('Raw Data'!$E$5:$E$100,MATCH(C39,'Raw Data'!$F$5:$F$100,0))</f>
        <v>8870</v>
      </c>
      <c r="F39" s="12" t="n">
        <f aca="false">E39-D39</f>
        <v>-130</v>
      </c>
      <c r="G39" s="13" t="n">
        <f aca="false">IFERROR(F39/D39,0)</f>
        <v>-0.0144444444444444</v>
      </c>
      <c r="H39" s="14" t="str">
        <f aca="false">IF(G39&gt;0.05,"Over Budget",IF(G39&lt;-0.05,"Under Budget","On Track"))</f>
        <v>On Track</v>
      </c>
      <c r="I39" s="14" t="str">
        <f aca="false">IF(H39="Over Budget","🔴 Over",IF(H39="Under Budget","🟡 Under","🟢 On Track"))</f>
        <v>🟢 On Track</v>
      </c>
    </row>
    <row r="40" customFormat="false" ht="15" hidden="false" customHeight="false" outlineLevel="0" collapsed="false">
      <c r="A40" s="11" t="s">
        <v>29</v>
      </c>
      <c r="B40" s="11" t="s">
        <v>16</v>
      </c>
      <c r="C40" s="8" t="str">
        <f aca="false">A40&amp;"|"&amp;B40</f>
        <v>Dec-2025|Education &amp; Training</v>
      </c>
      <c r="D40" s="12" t="n">
        <f aca="false">VLOOKUP(B40,'Raw Data'!$H$6:$I$13,2,FALSE())</f>
        <v>9000</v>
      </c>
      <c r="E40" s="12" t="n">
        <f aca="false">INDEX('Raw Data'!$E$5:$E$100,MATCH(C40,'Raw Data'!$F$5:$F$100,0))</f>
        <v>9020</v>
      </c>
      <c r="F40" s="12" t="n">
        <f aca="false">E40-D40</f>
        <v>20</v>
      </c>
      <c r="G40" s="13" t="n">
        <f aca="false">IFERROR(F40/D40,0)</f>
        <v>0.00222222222222222</v>
      </c>
      <c r="H40" s="14" t="str">
        <f aca="false">IF(G40&gt;0.05,"Over Budget",IF(G40&lt;-0.05,"Under Budget","On Track"))</f>
        <v>On Track</v>
      </c>
      <c r="I40" s="14" t="str">
        <f aca="false">IF(H40="Over Budget","🔴 Over",IF(H40="Under Budget","🟡 Under","🟢 On Track"))</f>
        <v>🟢 On Track</v>
      </c>
    </row>
    <row r="41" customFormat="false" ht="15" hidden="false" customHeight="false" outlineLevel="0" collapsed="false">
      <c r="A41" s="11" t="s">
        <v>9</v>
      </c>
      <c r="B41" s="11" t="s">
        <v>18</v>
      </c>
      <c r="C41" s="8" t="str">
        <f aca="false">A41&amp;"|"&amp;B41</f>
        <v>Jan-2025|Livelihoods &amp; Financial Inclusion</v>
      </c>
      <c r="D41" s="12" t="n">
        <f aca="false">VLOOKUP(B41,'Raw Data'!$H$6:$I$13,2,FALSE())</f>
        <v>11000</v>
      </c>
      <c r="E41" s="12" t="n">
        <f aca="false">INDEX('Raw Data'!$E$5:$E$100,MATCH(C41,'Raw Data'!$F$5:$F$100,0))</f>
        <v>11360</v>
      </c>
      <c r="F41" s="12" t="n">
        <f aca="false">E41-D41</f>
        <v>360</v>
      </c>
      <c r="G41" s="13" t="n">
        <f aca="false">IFERROR(F41/D41,0)</f>
        <v>0.0327272727272727</v>
      </c>
      <c r="H41" s="14" t="str">
        <f aca="false">IF(G41&gt;0.05,"Over Budget",IF(G41&lt;-0.05,"Under Budget","On Track"))</f>
        <v>On Track</v>
      </c>
      <c r="I41" s="14" t="str">
        <f aca="false">IF(H41="Over Budget","🔴 Over",IF(H41="Under Budget","🟡 Under","🟢 On Track"))</f>
        <v>🟢 On Track</v>
      </c>
    </row>
    <row r="42" customFormat="false" ht="15" hidden="false" customHeight="false" outlineLevel="0" collapsed="false">
      <c r="A42" s="11" t="s">
        <v>12</v>
      </c>
      <c r="B42" s="11" t="s">
        <v>18</v>
      </c>
      <c r="C42" s="8" t="str">
        <f aca="false">A42&amp;"|"&amp;B42</f>
        <v>Feb-2025|Livelihoods &amp; Financial Inclusion</v>
      </c>
      <c r="D42" s="12" t="n">
        <f aca="false">VLOOKUP(B42,'Raw Data'!$H$6:$I$13,2,FALSE())</f>
        <v>11000</v>
      </c>
      <c r="E42" s="12" t="n">
        <f aca="false">INDEX('Raw Data'!$E$5:$E$100,MATCH(C42,'Raw Data'!$F$5:$F$100,0))</f>
        <v>11490</v>
      </c>
      <c r="F42" s="12" t="n">
        <f aca="false">E42-D42</f>
        <v>490</v>
      </c>
      <c r="G42" s="13" t="n">
        <f aca="false">IFERROR(F42/D42,0)</f>
        <v>0.0445454545454546</v>
      </c>
      <c r="H42" s="14" t="str">
        <f aca="false">IF(G42&gt;0.05,"Over Budget",IF(G42&lt;-0.05,"Under Budget","On Track"))</f>
        <v>On Track</v>
      </c>
      <c r="I42" s="14" t="str">
        <f aca="false">IF(H42="Over Budget","🔴 Over",IF(H42="Under Budget","🟡 Under","🟢 On Track"))</f>
        <v>🟢 On Track</v>
      </c>
    </row>
    <row r="43" customFormat="false" ht="15" hidden="false" customHeight="false" outlineLevel="0" collapsed="false">
      <c r="A43" s="11" t="s">
        <v>13</v>
      </c>
      <c r="B43" s="11" t="s">
        <v>18</v>
      </c>
      <c r="C43" s="8" t="str">
        <f aca="false">A43&amp;"|"&amp;B43</f>
        <v>Mar-2025|Livelihoods &amp; Financial Inclusion</v>
      </c>
      <c r="D43" s="12" t="n">
        <f aca="false">VLOOKUP(B43,'Raw Data'!$H$6:$I$13,2,FALSE())</f>
        <v>11000</v>
      </c>
      <c r="E43" s="12" t="n">
        <f aca="false">INDEX('Raw Data'!$E$5:$E$100,MATCH(C43,'Raw Data'!$F$5:$F$100,0))</f>
        <v>11820</v>
      </c>
      <c r="F43" s="12" t="n">
        <f aca="false">E43-D43</f>
        <v>820</v>
      </c>
      <c r="G43" s="13" t="n">
        <f aca="false">IFERROR(F43/D43,0)</f>
        <v>0.0745454545454545</v>
      </c>
      <c r="H43" s="14" t="str">
        <f aca="false">IF(G43&gt;0.05,"Over Budget",IF(G43&lt;-0.05,"Under Budget","On Track"))</f>
        <v>Over Budget</v>
      </c>
      <c r="I43" s="14" t="str">
        <f aca="false">IF(H43="Over Budget","🔴 Over",IF(H43="Under Budget","🟡 Under","🟢 On Track"))</f>
        <v>🔴 Over</v>
      </c>
    </row>
    <row r="44" customFormat="false" ht="15" hidden="false" customHeight="false" outlineLevel="0" collapsed="false">
      <c r="A44" s="11" t="s">
        <v>15</v>
      </c>
      <c r="B44" s="11" t="s">
        <v>18</v>
      </c>
      <c r="C44" s="8" t="str">
        <f aca="false">A44&amp;"|"&amp;B44</f>
        <v>Apr-2025|Livelihoods &amp; Financial Inclusion</v>
      </c>
      <c r="D44" s="12" t="n">
        <f aca="false">VLOOKUP(B44,'Raw Data'!$H$6:$I$13,2,FALSE())</f>
        <v>11000</v>
      </c>
      <c r="E44" s="12" t="n">
        <f aca="false">INDEX('Raw Data'!$E$5:$E$100,MATCH(C44,'Raw Data'!$F$5:$F$100,0))</f>
        <v>12020</v>
      </c>
      <c r="F44" s="12" t="n">
        <f aca="false">E44-D44</f>
        <v>1020</v>
      </c>
      <c r="G44" s="13" t="n">
        <f aca="false">IFERROR(F44/D44,0)</f>
        <v>0.0927272727272727</v>
      </c>
      <c r="H44" s="14" t="str">
        <f aca="false">IF(G44&gt;0.05,"Over Budget",IF(G44&lt;-0.05,"Under Budget","On Track"))</f>
        <v>Over Budget</v>
      </c>
      <c r="I44" s="14" t="str">
        <f aca="false">IF(H44="Over Budget","🔴 Over",IF(H44="Under Budget","🟡 Under","🟢 On Track"))</f>
        <v>🔴 Over</v>
      </c>
    </row>
    <row r="45" customFormat="false" ht="15" hidden="false" customHeight="false" outlineLevel="0" collapsed="false">
      <c r="A45" s="11" t="s">
        <v>17</v>
      </c>
      <c r="B45" s="11" t="s">
        <v>18</v>
      </c>
      <c r="C45" s="8" t="str">
        <f aca="false">A45&amp;"|"&amp;B45</f>
        <v>May-2025|Livelihoods &amp; Financial Inclusion</v>
      </c>
      <c r="D45" s="12" t="n">
        <f aca="false">VLOOKUP(B45,'Raw Data'!$H$6:$I$13,2,FALSE())</f>
        <v>11000</v>
      </c>
      <c r="E45" s="12" t="n">
        <f aca="false">INDEX('Raw Data'!$E$5:$E$100,MATCH(C45,'Raw Data'!$F$5:$F$100,0))</f>
        <v>12300</v>
      </c>
      <c r="F45" s="12" t="n">
        <f aca="false">E45-D45</f>
        <v>1300</v>
      </c>
      <c r="G45" s="13" t="n">
        <f aca="false">IFERROR(F45/D45,0)</f>
        <v>0.118181818181818</v>
      </c>
      <c r="H45" s="14" t="str">
        <f aca="false">IF(G45&gt;0.05,"Over Budget",IF(G45&lt;-0.05,"Under Budget","On Track"))</f>
        <v>Over Budget</v>
      </c>
      <c r="I45" s="14" t="str">
        <f aca="false">IF(H45="Over Budget","🔴 Over",IF(H45="Under Budget","🟡 Under","🟢 On Track"))</f>
        <v>🔴 Over</v>
      </c>
    </row>
    <row r="46" customFormat="false" ht="15" hidden="false" customHeight="false" outlineLevel="0" collapsed="false">
      <c r="A46" s="11" t="s">
        <v>19</v>
      </c>
      <c r="B46" s="11" t="s">
        <v>18</v>
      </c>
      <c r="C46" s="8" t="str">
        <f aca="false">A46&amp;"|"&amp;B46</f>
        <v>Jun-2025|Livelihoods &amp; Financial Inclusion</v>
      </c>
      <c r="D46" s="12" t="n">
        <f aca="false">VLOOKUP(B46,'Raw Data'!$H$6:$I$13,2,FALSE())</f>
        <v>11000</v>
      </c>
      <c r="E46" s="12" t="n">
        <f aca="false">INDEX('Raw Data'!$E$5:$E$100,MATCH(C46,'Raw Data'!$F$5:$F$100,0))</f>
        <v>12340</v>
      </c>
      <c r="F46" s="12" t="n">
        <f aca="false">E46-D46</f>
        <v>1340</v>
      </c>
      <c r="G46" s="13" t="n">
        <f aca="false">IFERROR(F46/D46,0)</f>
        <v>0.121818181818182</v>
      </c>
      <c r="H46" s="14" t="str">
        <f aca="false">IF(G46&gt;0.05,"Over Budget",IF(G46&lt;-0.05,"Under Budget","On Track"))</f>
        <v>Over Budget</v>
      </c>
      <c r="I46" s="14" t="str">
        <f aca="false">IF(H46="Over Budget","🔴 Over",IF(H46="Under Budget","🟡 Under","🟢 On Track"))</f>
        <v>🔴 Over</v>
      </c>
    </row>
    <row r="47" customFormat="false" ht="15" hidden="false" customHeight="false" outlineLevel="0" collapsed="false">
      <c r="A47" s="11" t="s">
        <v>21</v>
      </c>
      <c r="B47" s="11" t="s">
        <v>18</v>
      </c>
      <c r="C47" s="8" t="str">
        <f aca="false">A47&amp;"|"&amp;B47</f>
        <v>Jul-2025|Livelihoods &amp; Financial Inclusion</v>
      </c>
      <c r="D47" s="12" t="n">
        <f aca="false">VLOOKUP(B47,'Raw Data'!$H$6:$I$13,2,FALSE())</f>
        <v>11000</v>
      </c>
      <c r="E47" s="12" t="n">
        <f aca="false">INDEX('Raw Data'!$E$5:$E$100,MATCH(C47,'Raw Data'!$F$5:$F$100,0))</f>
        <v>12640</v>
      </c>
      <c r="F47" s="12" t="n">
        <f aca="false">E47-D47</f>
        <v>1640</v>
      </c>
      <c r="G47" s="13" t="n">
        <f aca="false">IFERROR(F47/D47,0)</f>
        <v>0.149090909090909</v>
      </c>
      <c r="H47" s="14" t="str">
        <f aca="false">IF(G47&gt;0.05,"Over Budget",IF(G47&lt;-0.05,"Under Budget","On Track"))</f>
        <v>Over Budget</v>
      </c>
      <c r="I47" s="14" t="str">
        <f aca="false">IF(H47="Over Budget","🔴 Over",IF(H47="Under Budget","🟡 Under","🟢 On Track"))</f>
        <v>🔴 Over</v>
      </c>
    </row>
    <row r="48" customFormat="false" ht="15" hidden="false" customHeight="false" outlineLevel="0" collapsed="false">
      <c r="A48" s="11" t="s">
        <v>23</v>
      </c>
      <c r="B48" s="11" t="s">
        <v>18</v>
      </c>
      <c r="C48" s="8" t="str">
        <f aca="false">A48&amp;"|"&amp;B48</f>
        <v>Aug-2025|Livelihoods &amp; Financial Inclusion</v>
      </c>
      <c r="D48" s="12" t="n">
        <f aca="false">VLOOKUP(B48,'Raw Data'!$H$6:$I$13,2,FALSE())</f>
        <v>11000</v>
      </c>
      <c r="E48" s="12" t="n">
        <f aca="false">INDEX('Raw Data'!$E$5:$E$100,MATCH(C48,'Raw Data'!$F$5:$F$100,0))</f>
        <v>12890</v>
      </c>
      <c r="F48" s="12" t="n">
        <f aca="false">E48-D48</f>
        <v>1890</v>
      </c>
      <c r="G48" s="13" t="n">
        <f aca="false">IFERROR(F48/D48,0)</f>
        <v>0.171818181818182</v>
      </c>
      <c r="H48" s="14" t="str">
        <f aca="false">IF(G48&gt;0.05,"Over Budget",IF(G48&lt;-0.05,"Under Budget","On Track"))</f>
        <v>Over Budget</v>
      </c>
      <c r="I48" s="14" t="str">
        <f aca="false">IF(H48="Over Budget","🔴 Over",IF(H48="Under Budget","🟡 Under","🟢 On Track"))</f>
        <v>🔴 Over</v>
      </c>
    </row>
    <row r="49" customFormat="false" ht="15" hidden="false" customHeight="false" outlineLevel="0" collapsed="false">
      <c r="A49" s="11" t="s">
        <v>25</v>
      </c>
      <c r="B49" s="11" t="s">
        <v>18</v>
      </c>
      <c r="C49" s="8" t="str">
        <f aca="false">A49&amp;"|"&amp;B49</f>
        <v>Sep-2025|Livelihoods &amp; Financial Inclusion</v>
      </c>
      <c r="D49" s="12" t="n">
        <f aca="false">VLOOKUP(B49,'Raw Data'!$H$6:$I$13,2,FALSE())</f>
        <v>11000</v>
      </c>
      <c r="E49" s="12" t="n">
        <f aca="false">INDEX('Raw Data'!$E$5:$E$100,MATCH(C49,'Raw Data'!$F$5:$F$100,0))</f>
        <v>13020</v>
      </c>
      <c r="F49" s="12" t="n">
        <f aca="false">E49-D49</f>
        <v>2020</v>
      </c>
      <c r="G49" s="13" t="n">
        <f aca="false">IFERROR(F49/D49,0)</f>
        <v>0.183636363636364</v>
      </c>
      <c r="H49" s="14" t="str">
        <f aca="false">IF(G49&gt;0.05,"Over Budget",IF(G49&lt;-0.05,"Under Budget","On Track"))</f>
        <v>Over Budget</v>
      </c>
      <c r="I49" s="14" t="str">
        <f aca="false">IF(H49="Over Budget","🔴 Over",IF(H49="Under Budget","🟡 Under","🟢 On Track"))</f>
        <v>🔴 Over</v>
      </c>
    </row>
    <row r="50" customFormat="false" ht="15" hidden="false" customHeight="false" outlineLevel="0" collapsed="false">
      <c r="A50" s="11" t="s">
        <v>27</v>
      </c>
      <c r="B50" s="11" t="s">
        <v>18</v>
      </c>
      <c r="C50" s="8" t="str">
        <f aca="false">A50&amp;"|"&amp;B50</f>
        <v>Oct-2025|Livelihoods &amp; Financial Inclusion</v>
      </c>
      <c r="D50" s="12" t="n">
        <f aca="false">VLOOKUP(B50,'Raw Data'!$H$6:$I$13,2,FALSE())</f>
        <v>11000</v>
      </c>
      <c r="E50" s="12" t="n">
        <f aca="false">INDEX('Raw Data'!$E$5:$E$100,MATCH(C50,'Raw Data'!$F$5:$F$100,0))</f>
        <v>13300</v>
      </c>
      <c r="F50" s="12" t="n">
        <f aca="false">E50-D50</f>
        <v>2300</v>
      </c>
      <c r="G50" s="13" t="n">
        <f aca="false">IFERROR(F50/D50,0)</f>
        <v>0.209090909090909</v>
      </c>
      <c r="H50" s="14" t="str">
        <f aca="false">IF(G50&gt;0.05,"Over Budget",IF(G50&lt;-0.05,"Under Budget","On Track"))</f>
        <v>Over Budget</v>
      </c>
      <c r="I50" s="14" t="str">
        <f aca="false">IF(H50="Over Budget","🔴 Over",IF(H50="Under Budget","🟡 Under","🟢 On Track"))</f>
        <v>🔴 Over</v>
      </c>
    </row>
    <row r="51" customFormat="false" ht="15" hidden="false" customHeight="false" outlineLevel="0" collapsed="false">
      <c r="A51" s="11" t="s">
        <v>28</v>
      </c>
      <c r="B51" s="11" t="s">
        <v>18</v>
      </c>
      <c r="C51" s="8" t="str">
        <f aca="false">A51&amp;"|"&amp;B51</f>
        <v>Nov-2025|Livelihoods &amp; Financial Inclusion</v>
      </c>
      <c r="D51" s="12" t="n">
        <f aca="false">VLOOKUP(B51,'Raw Data'!$H$6:$I$13,2,FALSE())</f>
        <v>11000</v>
      </c>
      <c r="E51" s="12" t="n">
        <f aca="false">INDEX('Raw Data'!$E$5:$E$100,MATCH(C51,'Raw Data'!$F$5:$F$100,0))</f>
        <v>13460</v>
      </c>
      <c r="F51" s="12" t="n">
        <f aca="false">E51-D51</f>
        <v>2460</v>
      </c>
      <c r="G51" s="13" t="n">
        <f aca="false">IFERROR(F51/D51,0)</f>
        <v>0.223636363636364</v>
      </c>
      <c r="H51" s="14" t="str">
        <f aca="false">IF(G51&gt;0.05,"Over Budget",IF(G51&lt;-0.05,"Under Budget","On Track"))</f>
        <v>Over Budget</v>
      </c>
      <c r="I51" s="14" t="str">
        <f aca="false">IF(H51="Over Budget","🔴 Over",IF(H51="Under Budget","🟡 Under","🟢 On Track"))</f>
        <v>🔴 Over</v>
      </c>
    </row>
    <row r="52" customFormat="false" ht="15" hidden="false" customHeight="false" outlineLevel="0" collapsed="false">
      <c r="A52" s="11" t="s">
        <v>29</v>
      </c>
      <c r="B52" s="11" t="s">
        <v>18</v>
      </c>
      <c r="C52" s="8" t="str">
        <f aca="false">A52&amp;"|"&amp;B52</f>
        <v>Dec-2025|Livelihoods &amp; Financial Inclusion</v>
      </c>
      <c r="D52" s="12" t="n">
        <f aca="false">VLOOKUP(B52,'Raw Data'!$H$6:$I$13,2,FALSE())</f>
        <v>11000</v>
      </c>
      <c r="E52" s="12" t="n">
        <f aca="false">INDEX('Raw Data'!$E$5:$E$100,MATCH(C52,'Raw Data'!$F$5:$F$100,0))</f>
        <v>13760</v>
      </c>
      <c r="F52" s="12" t="n">
        <f aca="false">E52-D52</f>
        <v>2760</v>
      </c>
      <c r="G52" s="13" t="n">
        <f aca="false">IFERROR(F52/D52,0)</f>
        <v>0.250909090909091</v>
      </c>
      <c r="H52" s="14" t="str">
        <f aca="false">IF(G52&gt;0.05,"Over Budget",IF(G52&lt;-0.05,"Under Budget","On Track"))</f>
        <v>Over Budget</v>
      </c>
      <c r="I52" s="14" t="str">
        <f aca="false">IF(H52="Over Budget","🔴 Over",IF(H52="Under Budget","🟡 Under","🟢 On Track"))</f>
        <v>🔴 Over</v>
      </c>
    </row>
    <row r="53" customFormat="false" ht="15" hidden="false" customHeight="false" outlineLevel="0" collapsed="false">
      <c r="A53" s="11" t="s">
        <v>9</v>
      </c>
      <c r="B53" s="11" t="s">
        <v>20</v>
      </c>
      <c r="C53" s="8" t="str">
        <f aca="false">A53&amp;"|"&amp;B53</f>
        <v>Jan-2025|Monitoring &amp; Evaluation</v>
      </c>
      <c r="D53" s="12" t="n">
        <f aca="false">VLOOKUP(B53,'Raw Data'!$H$6:$I$13,2,FALSE())</f>
        <v>5000</v>
      </c>
      <c r="E53" s="12" t="n">
        <f aca="false">INDEX('Raw Data'!$E$5:$E$100,MATCH(C53,'Raw Data'!$F$5:$F$100,0))</f>
        <v>4280</v>
      </c>
      <c r="F53" s="12" t="n">
        <f aca="false">E53-D53</f>
        <v>-720</v>
      </c>
      <c r="G53" s="13" t="n">
        <f aca="false">IFERROR(F53/D53,0)</f>
        <v>-0.144</v>
      </c>
      <c r="H53" s="14" t="str">
        <f aca="false">IF(G53&gt;0.05,"Over Budget",IF(G53&lt;-0.05,"Under Budget","On Track"))</f>
        <v>Under Budget</v>
      </c>
      <c r="I53" s="14" t="str">
        <f aca="false">IF(H53="Over Budget","🔴 Over",IF(H53="Under Budget","🟡 Under","🟢 On Track"))</f>
        <v>🟡 Under</v>
      </c>
    </row>
    <row r="54" customFormat="false" ht="15" hidden="false" customHeight="false" outlineLevel="0" collapsed="false">
      <c r="A54" s="11" t="s">
        <v>12</v>
      </c>
      <c r="B54" s="11" t="s">
        <v>20</v>
      </c>
      <c r="C54" s="8" t="str">
        <f aca="false">A54&amp;"|"&amp;B54</f>
        <v>Feb-2025|Monitoring &amp; Evaluation</v>
      </c>
      <c r="D54" s="12" t="n">
        <f aca="false">VLOOKUP(B54,'Raw Data'!$H$6:$I$13,2,FALSE())</f>
        <v>5000</v>
      </c>
      <c r="E54" s="12" t="n">
        <f aca="false">INDEX('Raw Data'!$E$5:$E$100,MATCH(C54,'Raw Data'!$F$5:$F$100,0))</f>
        <v>4320</v>
      </c>
      <c r="F54" s="12" t="n">
        <f aca="false">E54-D54</f>
        <v>-680</v>
      </c>
      <c r="G54" s="13" t="n">
        <f aca="false">IFERROR(F54/D54,0)</f>
        <v>-0.136</v>
      </c>
      <c r="H54" s="14" t="str">
        <f aca="false">IF(G54&gt;0.05,"Over Budget",IF(G54&lt;-0.05,"Under Budget","On Track"))</f>
        <v>Under Budget</v>
      </c>
      <c r="I54" s="14" t="str">
        <f aca="false">IF(H54="Over Budget","🔴 Over",IF(H54="Under Budget","🟡 Under","🟢 On Track"))</f>
        <v>🟡 Under</v>
      </c>
    </row>
    <row r="55" customFormat="false" ht="15" hidden="false" customHeight="false" outlineLevel="0" collapsed="false">
      <c r="A55" s="11" t="s">
        <v>13</v>
      </c>
      <c r="B55" s="11" t="s">
        <v>20</v>
      </c>
      <c r="C55" s="8" t="str">
        <f aca="false">A55&amp;"|"&amp;B55</f>
        <v>Mar-2025|Monitoring &amp; Evaluation</v>
      </c>
      <c r="D55" s="12" t="n">
        <f aca="false">VLOOKUP(B55,'Raw Data'!$H$6:$I$13,2,FALSE())</f>
        <v>5000</v>
      </c>
      <c r="E55" s="12" t="n">
        <f aca="false">INDEX('Raw Data'!$E$5:$E$100,MATCH(C55,'Raw Data'!$F$5:$F$100,0))</f>
        <v>4470</v>
      </c>
      <c r="F55" s="12" t="n">
        <f aca="false">E55-D55</f>
        <v>-530</v>
      </c>
      <c r="G55" s="13" t="n">
        <f aca="false">IFERROR(F55/D55,0)</f>
        <v>-0.106</v>
      </c>
      <c r="H55" s="14" t="str">
        <f aca="false">IF(G55&gt;0.05,"Over Budget",IF(G55&lt;-0.05,"Under Budget","On Track"))</f>
        <v>Under Budget</v>
      </c>
      <c r="I55" s="14" t="str">
        <f aca="false">IF(H55="Over Budget","🔴 Over",IF(H55="Under Budget","🟡 Under","🟢 On Track"))</f>
        <v>🟡 Under</v>
      </c>
    </row>
    <row r="56" customFormat="false" ht="15" hidden="false" customHeight="false" outlineLevel="0" collapsed="false">
      <c r="A56" s="11" t="s">
        <v>15</v>
      </c>
      <c r="B56" s="11" t="s">
        <v>20</v>
      </c>
      <c r="C56" s="8" t="str">
        <f aca="false">A56&amp;"|"&amp;B56</f>
        <v>Apr-2025|Monitoring &amp; Evaluation</v>
      </c>
      <c r="D56" s="12" t="n">
        <f aca="false">VLOOKUP(B56,'Raw Data'!$H$6:$I$13,2,FALSE())</f>
        <v>5000</v>
      </c>
      <c r="E56" s="12" t="n">
        <f aca="false">INDEX('Raw Data'!$E$5:$E$100,MATCH(C56,'Raw Data'!$F$5:$F$100,0))</f>
        <v>4240</v>
      </c>
      <c r="F56" s="12" t="n">
        <f aca="false">E56-D56</f>
        <v>-760</v>
      </c>
      <c r="G56" s="13" t="n">
        <f aca="false">IFERROR(F56/D56,0)</f>
        <v>-0.152</v>
      </c>
      <c r="H56" s="14" t="str">
        <f aca="false">IF(G56&gt;0.05,"Over Budget",IF(G56&lt;-0.05,"Under Budget","On Track"))</f>
        <v>Under Budget</v>
      </c>
      <c r="I56" s="14" t="str">
        <f aca="false">IF(H56="Over Budget","🔴 Over",IF(H56="Under Budget","🟡 Under","🟢 On Track"))</f>
        <v>🟡 Under</v>
      </c>
    </row>
    <row r="57" customFormat="false" ht="15" hidden="false" customHeight="false" outlineLevel="0" collapsed="false">
      <c r="A57" s="11" t="s">
        <v>17</v>
      </c>
      <c r="B57" s="11" t="s">
        <v>20</v>
      </c>
      <c r="C57" s="8" t="str">
        <f aca="false">A57&amp;"|"&amp;B57</f>
        <v>May-2025|Monitoring &amp; Evaluation</v>
      </c>
      <c r="D57" s="12" t="n">
        <f aca="false">VLOOKUP(B57,'Raw Data'!$H$6:$I$13,2,FALSE())</f>
        <v>5000</v>
      </c>
      <c r="E57" s="12" t="n">
        <f aca="false">INDEX('Raw Data'!$E$5:$E$100,MATCH(C57,'Raw Data'!$F$5:$F$100,0))</f>
        <v>4350</v>
      </c>
      <c r="F57" s="12" t="n">
        <f aca="false">E57-D57</f>
        <v>-650</v>
      </c>
      <c r="G57" s="13" t="n">
        <f aca="false">IFERROR(F57/D57,0)</f>
        <v>-0.13</v>
      </c>
      <c r="H57" s="14" t="str">
        <f aca="false">IF(G57&gt;0.05,"Over Budget",IF(G57&lt;-0.05,"Under Budget","On Track"))</f>
        <v>Under Budget</v>
      </c>
      <c r="I57" s="14" t="str">
        <f aca="false">IF(H57="Over Budget","🔴 Over",IF(H57="Under Budget","🟡 Under","🟢 On Track"))</f>
        <v>🟡 Under</v>
      </c>
    </row>
    <row r="58" customFormat="false" ht="15" hidden="false" customHeight="false" outlineLevel="0" collapsed="false">
      <c r="A58" s="11" t="s">
        <v>19</v>
      </c>
      <c r="B58" s="11" t="s">
        <v>20</v>
      </c>
      <c r="C58" s="8" t="str">
        <f aca="false">A58&amp;"|"&amp;B58</f>
        <v>Jun-2025|Monitoring &amp; Evaluation</v>
      </c>
      <c r="D58" s="12" t="n">
        <f aca="false">VLOOKUP(B58,'Raw Data'!$H$6:$I$13,2,FALSE())</f>
        <v>5000</v>
      </c>
      <c r="E58" s="12" t="n">
        <f aca="false">INDEX('Raw Data'!$E$5:$E$100,MATCH(C58,'Raw Data'!$F$5:$F$100,0))</f>
        <v>4640</v>
      </c>
      <c r="F58" s="12" t="n">
        <f aca="false">E58-D58</f>
        <v>-360</v>
      </c>
      <c r="G58" s="13" t="n">
        <f aca="false">IFERROR(F58/D58,0)</f>
        <v>-0.072</v>
      </c>
      <c r="H58" s="14" t="str">
        <f aca="false">IF(G58&gt;0.05,"Over Budget",IF(G58&lt;-0.05,"Under Budget","On Track"))</f>
        <v>Under Budget</v>
      </c>
      <c r="I58" s="14" t="str">
        <f aca="false">IF(H58="Over Budget","🔴 Over",IF(H58="Under Budget","🟡 Under","🟢 On Track"))</f>
        <v>🟡 Under</v>
      </c>
    </row>
    <row r="59" customFormat="false" ht="15" hidden="false" customHeight="false" outlineLevel="0" collapsed="false">
      <c r="A59" s="11" t="s">
        <v>21</v>
      </c>
      <c r="B59" s="11" t="s">
        <v>20</v>
      </c>
      <c r="C59" s="8" t="str">
        <f aca="false">A59&amp;"|"&amp;B59</f>
        <v>Jul-2025|Monitoring &amp; Evaluation</v>
      </c>
      <c r="D59" s="12" t="n">
        <f aca="false">VLOOKUP(B59,'Raw Data'!$H$6:$I$13,2,FALSE())</f>
        <v>5000</v>
      </c>
      <c r="E59" s="12" t="n">
        <f aca="false">INDEX('Raw Data'!$E$5:$E$100,MATCH(C59,'Raw Data'!$F$5:$F$100,0))</f>
        <v>4480</v>
      </c>
      <c r="F59" s="12" t="n">
        <f aca="false">E59-D59</f>
        <v>-520</v>
      </c>
      <c r="G59" s="13" t="n">
        <f aca="false">IFERROR(F59/D59,0)</f>
        <v>-0.104</v>
      </c>
      <c r="H59" s="14" t="str">
        <f aca="false">IF(G59&gt;0.05,"Over Budget",IF(G59&lt;-0.05,"Under Budget","On Track"))</f>
        <v>Under Budget</v>
      </c>
      <c r="I59" s="14" t="str">
        <f aca="false">IF(H59="Over Budget","🔴 Over",IF(H59="Under Budget","🟡 Under","🟢 On Track"))</f>
        <v>🟡 Under</v>
      </c>
    </row>
    <row r="60" customFormat="false" ht="15" hidden="false" customHeight="false" outlineLevel="0" collapsed="false">
      <c r="A60" s="11" t="s">
        <v>23</v>
      </c>
      <c r="B60" s="11" t="s">
        <v>20</v>
      </c>
      <c r="C60" s="8" t="str">
        <f aca="false">A60&amp;"|"&amp;B60</f>
        <v>Aug-2025|Monitoring &amp; Evaluation</v>
      </c>
      <c r="D60" s="12" t="n">
        <f aca="false">VLOOKUP(B60,'Raw Data'!$H$6:$I$13,2,FALSE())</f>
        <v>5000</v>
      </c>
      <c r="E60" s="12" t="n">
        <f aca="false">INDEX('Raw Data'!$E$5:$E$100,MATCH(C60,'Raw Data'!$F$5:$F$100,0))</f>
        <v>4370</v>
      </c>
      <c r="F60" s="12" t="n">
        <f aca="false">E60-D60</f>
        <v>-630</v>
      </c>
      <c r="G60" s="13" t="n">
        <f aca="false">IFERROR(F60/D60,0)</f>
        <v>-0.126</v>
      </c>
      <c r="H60" s="14" t="str">
        <f aca="false">IF(G60&gt;0.05,"Over Budget",IF(G60&lt;-0.05,"Under Budget","On Track"))</f>
        <v>Under Budget</v>
      </c>
      <c r="I60" s="14" t="str">
        <f aca="false">IF(H60="Over Budget","🔴 Over",IF(H60="Under Budget","🟡 Under","🟢 On Track"))</f>
        <v>🟡 Under</v>
      </c>
    </row>
    <row r="61" customFormat="false" ht="15" hidden="false" customHeight="false" outlineLevel="0" collapsed="false">
      <c r="A61" s="11" t="s">
        <v>25</v>
      </c>
      <c r="B61" s="11" t="s">
        <v>20</v>
      </c>
      <c r="C61" s="8" t="str">
        <f aca="false">A61&amp;"|"&amp;B61</f>
        <v>Sep-2025|Monitoring &amp; Evaluation</v>
      </c>
      <c r="D61" s="12" t="n">
        <f aca="false">VLOOKUP(B61,'Raw Data'!$H$6:$I$13,2,FALSE())</f>
        <v>5000</v>
      </c>
      <c r="E61" s="12" t="n">
        <f aca="false">INDEX('Raw Data'!$E$5:$E$100,MATCH(C61,'Raw Data'!$F$5:$F$100,0))</f>
        <v>4430</v>
      </c>
      <c r="F61" s="12" t="n">
        <f aca="false">E61-D61</f>
        <v>-570</v>
      </c>
      <c r="G61" s="13" t="n">
        <f aca="false">IFERROR(F61/D61,0)</f>
        <v>-0.114</v>
      </c>
      <c r="H61" s="14" t="str">
        <f aca="false">IF(G61&gt;0.05,"Over Budget",IF(G61&lt;-0.05,"Under Budget","On Track"))</f>
        <v>Under Budget</v>
      </c>
      <c r="I61" s="14" t="str">
        <f aca="false">IF(H61="Over Budget","🔴 Over",IF(H61="Under Budget","🟡 Under","🟢 On Track"))</f>
        <v>🟡 Under</v>
      </c>
    </row>
    <row r="62" customFormat="false" ht="15" hidden="false" customHeight="false" outlineLevel="0" collapsed="false">
      <c r="A62" s="11" t="s">
        <v>27</v>
      </c>
      <c r="B62" s="11" t="s">
        <v>20</v>
      </c>
      <c r="C62" s="8" t="str">
        <f aca="false">A62&amp;"|"&amp;B62</f>
        <v>Oct-2025|Monitoring &amp; Evaluation</v>
      </c>
      <c r="D62" s="12" t="n">
        <f aca="false">VLOOKUP(B62,'Raw Data'!$H$6:$I$13,2,FALSE())</f>
        <v>5000</v>
      </c>
      <c r="E62" s="12" t="n">
        <f aca="false">INDEX('Raw Data'!$E$5:$E$100,MATCH(C62,'Raw Data'!$F$5:$F$100,0))</f>
        <v>4350</v>
      </c>
      <c r="F62" s="12" t="n">
        <f aca="false">E62-D62</f>
        <v>-650</v>
      </c>
      <c r="G62" s="13" t="n">
        <f aca="false">IFERROR(F62/D62,0)</f>
        <v>-0.13</v>
      </c>
      <c r="H62" s="14" t="str">
        <f aca="false">IF(G62&gt;0.05,"Over Budget",IF(G62&lt;-0.05,"Under Budget","On Track"))</f>
        <v>Under Budget</v>
      </c>
      <c r="I62" s="14" t="str">
        <f aca="false">IF(H62="Over Budget","🔴 Over",IF(H62="Under Budget","🟡 Under","🟢 On Track"))</f>
        <v>🟡 Under</v>
      </c>
    </row>
    <row r="63" customFormat="false" ht="15" hidden="false" customHeight="false" outlineLevel="0" collapsed="false">
      <c r="A63" s="11" t="s">
        <v>28</v>
      </c>
      <c r="B63" s="11" t="s">
        <v>20</v>
      </c>
      <c r="C63" s="8" t="str">
        <f aca="false">A63&amp;"|"&amp;B63</f>
        <v>Nov-2025|Monitoring &amp; Evaluation</v>
      </c>
      <c r="D63" s="12" t="n">
        <f aca="false">VLOOKUP(B63,'Raw Data'!$H$6:$I$13,2,FALSE())</f>
        <v>5000</v>
      </c>
      <c r="E63" s="12" t="n">
        <f aca="false">INDEX('Raw Data'!$E$5:$E$100,MATCH(C63,'Raw Data'!$F$5:$F$100,0))</f>
        <v>4330</v>
      </c>
      <c r="F63" s="12" t="n">
        <f aca="false">E63-D63</f>
        <v>-670</v>
      </c>
      <c r="G63" s="13" t="n">
        <f aca="false">IFERROR(F63/D63,0)</f>
        <v>-0.134</v>
      </c>
      <c r="H63" s="14" t="str">
        <f aca="false">IF(G63&gt;0.05,"Over Budget",IF(G63&lt;-0.05,"Under Budget","On Track"))</f>
        <v>Under Budget</v>
      </c>
      <c r="I63" s="14" t="str">
        <f aca="false">IF(H63="Over Budget","🔴 Over",IF(H63="Under Budget","🟡 Under","🟢 On Track"))</f>
        <v>🟡 Under</v>
      </c>
    </row>
    <row r="64" customFormat="false" ht="15" hidden="false" customHeight="false" outlineLevel="0" collapsed="false">
      <c r="A64" s="11" t="s">
        <v>29</v>
      </c>
      <c r="B64" s="11" t="s">
        <v>20</v>
      </c>
      <c r="C64" s="8" t="str">
        <f aca="false">A64&amp;"|"&amp;B64</f>
        <v>Dec-2025|Monitoring &amp; Evaluation</v>
      </c>
      <c r="D64" s="12" t="n">
        <f aca="false">VLOOKUP(B64,'Raw Data'!$H$6:$I$13,2,FALSE())</f>
        <v>5000</v>
      </c>
      <c r="E64" s="12" t="n">
        <f aca="false">INDEX('Raw Data'!$E$5:$E$100,MATCH(C64,'Raw Data'!$F$5:$F$100,0))</f>
        <v>4230</v>
      </c>
      <c r="F64" s="12" t="n">
        <f aca="false">E64-D64</f>
        <v>-770</v>
      </c>
      <c r="G64" s="13" t="n">
        <f aca="false">IFERROR(F64/D64,0)</f>
        <v>-0.154</v>
      </c>
      <c r="H64" s="14" t="str">
        <f aca="false">IF(G64&gt;0.05,"Over Budget",IF(G64&lt;-0.05,"Under Budget","On Track"))</f>
        <v>Under Budget</v>
      </c>
      <c r="I64" s="14" t="str">
        <f aca="false">IF(H64="Over Budget","🔴 Over",IF(H64="Under Budget","🟡 Under","🟢 On Track"))</f>
        <v>🟡 Under</v>
      </c>
    </row>
    <row r="65" customFormat="false" ht="15" hidden="false" customHeight="false" outlineLevel="0" collapsed="false">
      <c r="A65" s="11" t="s">
        <v>9</v>
      </c>
      <c r="B65" s="11" t="s">
        <v>22</v>
      </c>
      <c r="C65" s="8" t="str">
        <f aca="false">A65&amp;"|"&amp;B65</f>
        <v>Jan-2025|Emergency Response</v>
      </c>
      <c r="D65" s="12" t="n">
        <f aca="false">VLOOKUP(B65,'Raw Data'!$H$6:$I$13,2,FALSE())</f>
        <v>7000</v>
      </c>
      <c r="E65" s="12" t="n">
        <f aca="false">INDEX('Raw Data'!$E$5:$E$100,MATCH(C65,'Raw Data'!$F$5:$F$100,0))</f>
        <v>5740</v>
      </c>
      <c r="F65" s="12" t="n">
        <f aca="false">E65-D65</f>
        <v>-1260</v>
      </c>
      <c r="G65" s="13" t="n">
        <f aca="false">IFERROR(F65/D65,0)</f>
        <v>-0.18</v>
      </c>
      <c r="H65" s="14" t="str">
        <f aca="false">IF(G65&gt;0.05,"Over Budget",IF(G65&lt;-0.05,"Under Budget","On Track"))</f>
        <v>Under Budget</v>
      </c>
      <c r="I65" s="14" t="str">
        <f aca="false">IF(H65="Over Budget","🔴 Over",IF(H65="Under Budget","🟡 Under","🟢 On Track"))</f>
        <v>🟡 Under</v>
      </c>
    </row>
    <row r="66" customFormat="false" ht="15" hidden="false" customHeight="false" outlineLevel="0" collapsed="false">
      <c r="A66" s="11" t="s">
        <v>12</v>
      </c>
      <c r="B66" s="11" t="s">
        <v>22</v>
      </c>
      <c r="C66" s="8" t="str">
        <f aca="false">A66&amp;"|"&amp;B66</f>
        <v>Feb-2025|Emergency Response</v>
      </c>
      <c r="D66" s="12" t="n">
        <f aca="false">VLOOKUP(B66,'Raw Data'!$H$6:$I$13,2,FALSE())</f>
        <v>7000</v>
      </c>
      <c r="E66" s="12" t="n">
        <f aca="false">INDEX('Raw Data'!$E$5:$E$100,MATCH(C66,'Raw Data'!$F$5:$F$100,0))</f>
        <v>5990</v>
      </c>
      <c r="F66" s="12" t="n">
        <f aca="false">E66-D66</f>
        <v>-1010</v>
      </c>
      <c r="G66" s="13" t="n">
        <f aca="false">IFERROR(F66/D66,0)</f>
        <v>-0.144285714285714</v>
      </c>
      <c r="H66" s="14" t="str">
        <f aca="false">IF(G66&gt;0.05,"Over Budget",IF(G66&lt;-0.05,"Under Budget","On Track"))</f>
        <v>Under Budget</v>
      </c>
      <c r="I66" s="14" t="str">
        <f aca="false">IF(H66="Over Budget","🔴 Over",IF(H66="Under Budget","🟡 Under","🟢 On Track"))</f>
        <v>🟡 Under</v>
      </c>
    </row>
    <row r="67" customFormat="false" ht="15" hidden="false" customHeight="false" outlineLevel="0" collapsed="false">
      <c r="A67" s="11" t="s">
        <v>13</v>
      </c>
      <c r="B67" s="11" t="s">
        <v>22</v>
      </c>
      <c r="C67" s="8" t="str">
        <f aca="false">A67&amp;"|"&amp;B67</f>
        <v>Mar-2025|Emergency Response</v>
      </c>
      <c r="D67" s="12" t="n">
        <f aca="false">VLOOKUP(B67,'Raw Data'!$H$6:$I$13,2,FALSE())</f>
        <v>7000</v>
      </c>
      <c r="E67" s="12" t="n">
        <f aca="false">INDEX('Raw Data'!$E$5:$E$100,MATCH(C67,'Raw Data'!$F$5:$F$100,0))</f>
        <v>6320</v>
      </c>
      <c r="F67" s="12" t="n">
        <f aca="false">E67-D67</f>
        <v>-680</v>
      </c>
      <c r="G67" s="13" t="n">
        <f aca="false">IFERROR(F67/D67,0)</f>
        <v>-0.0971428571428571</v>
      </c>
      <c r="H67" s="14" t="str">
        <f aca="false">IF(G67&gt;0.05,"Over Budget",IF(G67&lt;-0.05,"Under Budget","On Track"))</f>
        <v>Under Budget</v>
      </c>
      <c r="I67" s="14" t="str">
        <f aca="false">IF(H67="Over Budget","🔴 Over",IF(H67="Under Budget","🟡 Under","🟢 On Track"))</f>
        <v>🟡 Under</v>
      </c>
    </row>
    <row r="68" customFormat="false" ht="15" hidden="false" customHeight="false" outlineLevel="0" collapsed="false">
      <c r="A68" s="11" t="s">
        <v>15</v>
      </c>
      <c r="B68" s="11" t="s">
        <v>22</v>
      </c>
      <c r="C68" s="8" t="str">
        <f aca="false">A68&amp;"|"&amp;B68</f>
        <v>Apr-2025|Emergency Response</v>
      </c>
      <c r="D68" s="12" t="n">
        <f aca="false">VLOOKUP(B68,'Raw Data'!$H$6:$I$13,2,FALSE())</f>
        <v>7000</v>
      </c>
      <c r="E68" s="12" t="n">
        <f aca="false">INDEX('Raw Data'!$E$5:$E$100,MATCH(C68,'Raw Data'!$F$5:$F$100,0))</f>
        <v>10200</v>
      </c>
      <c r="F68" s="12" t="n">
        <f aca="false">E68-D68</f>
        <v>3200</v>
      </c>
      <c r="G68" s="13" t="n">
        <f aca="false">IFERROR(F68/D68,0)</f>
        <v>0.457142857142857</v>
      </c>
      <c r="H68" s="14" t="str">
        <f aca="false">IF(G68&gt;0.05,"Over Budget",IF(G68&lt;-0.05,"Under Budget","On Track"))</f>
        <v>Over Budget</v>
      </c>
      <c r="I68" s="14" t="str">
        <f aca="false">IF(H68="Over Budget","🔴 Over",IF(H68="Under Budget","🟡 Under","🟢 On Track"))</f>
        <v>🔴 Over</v>
      </c>
    </row>
    <row r="69" customFormat="false" ht="15" hidden="false" customHeight="false" outlineLevel="0" collapsed="false">
      <c r="A69" s="11" t="s">
        <v>17</v>
      </c>
      <c r="B69" s="11" t="s">
        <v>22</v>
      </c>
      <c r="C69" s="8" t="str">
        <f aca="false">A69&amp;"|"&amp;B69</f>
        <v>May-2025|Emergency Response</v>
      </c>
      <c r="D69" s="12" t="n">
        <f aca="false">VLOOKUP(B69,'Raw Data'!$H$6:$I$13,2,FALSE())</f>
        <v>7000</v>
      </c>
      <c r="E69" s="12" t="n">
        <f aca="false">INDEX('Raw Data'!$E$5:$E$100,MATCH(C69,'Raw Data'!$F$5:$F$100,0))</f>
        <v>11300</v>
      </c>
      <c r="F69" s="12" t="n">
        <f aca="false">E69-D69</f>
        <v>4300</v>
      </c>
      <c r="G69" s="13" t="n">
        <f aca="false">IFERROR(F69/D69,0)</f>
        <v>0.614285714285714</v>
      </c>
      <c r="H69" s="14" t="str">
        <f aca="false">IF(G69&gt;0.05,"Over Budget",IF(G69&lt;-0.05,"Under Budget","On Track"))</f>
        <v>Over Budget</v>
      </c>
      <c r="I69" s="14" t="str">
        <f aca="false">IF(H69="Over Budget","🔴 Over",IF(H69="Under Budget","🟡 Under","🟢 On Track"))</f>
        <v>🔴 Over</v>
      </c>
    </row>
    <row r="70" customFormat="false" ht="15" hidden="false" customHeight="false" outlineLevel="0" collapsed="false">
      <c r="A70" s="11" t="s">
        <v>19</v>
      </c>
      <c r="B70" s="11" t="s">
        <v>22</v>
      </c>
      <c r="C70" s="8" t="str">
        <f aca="false">A70&amp;"|"&amp;B70</f>
        <v>Jun-2025|Emergency Response</v>
      </c>
      <c r="D70" s="12" t="n">
        <f aca="false">VLOOKUP(B70,'Raw Data'!$H$6:$I$13,2,FALSE())</f>
        <v>7000</v>
      </c>
      <c r="E70" s="12" t="n">
        <f aca="false">INDEX('Raw Data'!$E$5:$E$100,MATCH(C70,'Raw Data'!$F$5:$F$100,0))</f>
        <v>7780</v>
      </c>
      <c r="F70" s="12" t="n">
        <f aca="false">E70-D70</f>
        <v>780</v>
      </c>
      <c r="G70" s="13" t="n">
        <f aca="false">IFERROR(F70/D70,0)</f>
        <v>0.111428571428571</v>
      </c>
      <c r="H70" s="14" t="str">
        <f aca="false">IF(G70&gt;0.05,"Over Budget",IF(G70&lt;-0.05,"Under Budget","On Track"))</f>
        <v>Over Budget</v>
      </c>
      <c r="I70" s="14" t="str">
        <f aca="false">IF(H70="Over Budget","🔴 Over",IF(H70="Under Budget","🟡 Under","🟢 On Track"))</f>
        <v>🔴 Over</v>
      </c>
    </row>
    <row r="71" customFormat="false" ht="15" hidden="false" customHeight="false" outlineLevel="0" collapsed="false">
      <c r="A71" s="11" t="s">
        <v>21</v>
      </c>
      <c r="B71" s="11" t="s">
        <v>22</v>
      </c>
      <c r="C71" s="8" t="str">
        <f aca="false">A71&amp;"|"&amp;B71</f>
        <v>Jul-2025|Emergency Response</v>
      </c>
      <c r="D71" s="12" t="n">
        <f aca="false">VLOOKUP(B71,'Raw Data'!$H$6:$I$13,2,FALSE())</f>
        <v>7000</v>
      </c>
      <c r="E71" s="12" t="n">
        <f aca="false">INDEX('Raw Data'!$E$5:$E$100,MATCH(C71,'Raw Data'!$F$5:$F$100,0))</f>
        <v>6570</v>
      </c>
      <c r="F71" s="12" t="n">
        <f aca="false">E71-D71</f>
        <v>-430</v>
      </c>
      <c r="G71" s="13" t="n">
        <f aca="false">IFERROR(F71/D71,0)</f>
        <v>-0.0614285714285714</v>
      </c>
      <c r="H71" s="14" t="str">
        <f aca="false">IF(G71&gt;0.05,"Over Budget",IF(G71&lt;-0.05,"Under Budget","On Track"))</f>
        <v>Under Budget</v>
      </c>
      <c r="I71" s="14" t="str">
        <f aca="false">IF(H71="Over Budget","🔴 Over",IF(H71="Under Budget","🟡 Under","🟢 On Track"))</f>
        <v>🟡 Under</v>
      </c>
    </row>
    <row r="72" customFormat="false" ht="15" hidden="false" customHeight="false" outlineLevel="0" collapsed="false">
      <c r="A72" s="11" t="s">
        <v>23</v>
      </c>
      <c r="B72" s="11" t="s">
        <v>22</v>
      </c>
      <c r="C72" s="8" t="str">
        <f aca="false">A72&amp;"|"&amp;B72</f>
        <v>Aug-2025|Emergency Response</v>
      </c>
      <c r="D72" s="12" t="n">
        <f aca="false">VLOOKUP(B72,'Raw Data'!$H$6:$I$13,2,FALSE())</f>
        <v>7000</v>
      </c>
      <c r="E72" s="12" t="n">
        <f aca="false">INDEX('Raw Data'!$E$5:$E$100,MATCH(C72,'Raw Data'!$F$5:$F$100,0))</f>
        <v>9320</v>
      </c>
      <c r="F72" s="12" t="n">
        <f aca="false">E72-D72</f>
        <v>2320</v>
      </c>
      <c r="G72" s="13" t="n">
        <f aca="false">IFERROR(F72/D72,0)</f>
        <v>0.331428571428571</v>
      </c>
      <c r="H72" s="14" t="str">
        <f aca="false">IF(G72&gt;0.05,"Over Budget",IF(G72&lt;-0.05,"Under Budget","On Track"))</f>
        <v>Over Budget</v>
      </c>
      <c r="I72" s="14" t="str">
        <f aca="false">IF(H72="Over Budget","🔴 Over",IF(H72="Under Budget","🟡 Under","🟢 On Track"))</f>
        <v>🔴 Over</v>
      </c>
    </row>
    <row r="73" customFormat="false" ht="15" hidden="false" customHeight="false" outlineLevel="0" collapsed="false">
      <c r="A73" s="11" t="s">
        <v>25</v>
      </c>
      <c r="B73" s="11" t="s">
        <v>22</v>
      </c>
      <c r="C73" s="8" t="str">
        <f aca="false">A73&amp;"|"&amp;B73</f>
        <v>Sep-2025|Emergency Response</v>
      </c>
      <c r="D73" s="12" t="n">
        <f aca="false">VLOOKUP(B73,'Raw Data'!$H$6:$I$13,2,FALSE())</f>
        <v>7000</v>
      </c>
      <c r="E73" s="12" t="n">
        <f aca="false">INDEX('Raw Data'!$E$5:$E$100,MATCH(C73,'Raw Data'!$F$5:$F$100,0))</f>
        <v>6250</v>
      </c>
      <c r="F73" s="12" t="n">
        <f aca="false">E73-D73</f>
        <v>-750</v>
      </c>
      <c r="G73" s="13" t="n">
        <f aca="false">IFERROR(F73/D73,0)</f>
        <v>-0.107142857142857</v>
      </c>
      <c r="H73" s="14" t="str">
        <f aca="false">IF(G73&gt;0.05,"Over Budget",IF(G73&lt;-0.05,"Under Budget","On Track"))</f>
        <v>Under Budget</v>
      </c>
      <c r="I73" s="14" t="str">
        <f aca="false">IF(H73="Over Budget","🔴 Over",IF(H73="Under Budget","🟡 Under","🟢 On Track"))</f>
        <v>🟡 Under</v>
      </c>
    </row>
    <row r="74" customFormat="false" ht="15" hidden="false" customHeight="false" outlineLevel="0" collapsed="false">
      <c r="A74" s="11" t="s">
        <v>27</v>
      </c>
      <c r="B74" s="11" t="s">
        <v>22</v>
      </c>
      <c r="C74" s="8" t="str">
        <f aca="false">A74&amp;"|"&amp;B74</f>
        <v>Oct-2025|Emergency Response</v>
      </c>
      <c r="D74" s="12" t="n">
        <f aca="false">VLOOKUP(B74,'Raw Data'!$H$6:$I$13,2,FALSE())</f>
        <v>7000</v>
      </c>
      <c r="E74" s="12" t="n">
        <f aca="false">INDEX('Raw Data'!$E$5:$E$100,MATCH(C74,'Raw Data'!$F$5:$F$100,0))</f>
        <v>5880</v>
      </c>
      <c r="F74" s="12" t="n">
        <f aca="false">E74-D74</f>
        <v>-1120</v>
      </c>
      <c r="G74" s="13" t="n">
        <f aca="false">IFERROR(F74/D74,0)</f>
        <v>-0.16</v>
      </c>
      <c r="H74" s="14" t="str">
        <f aca="false">IF(G74&gt;0.05,"Over Budget",IF(G74&lt;-0.05,"Under Budget","On Track"))</f>
        <v>Under Budget</v>
      </c>
      <c r="I74" s="14" t="str">
        <f aca="false">IF(H74="Over Budget","🔴 Over",IF(H74="Under Budget","🟡 Under","🟢 On Track"))</f>
        <v>🟡 Under</v>
      </c>
    </row>
    <row r="75" customFormat="false" ht="15" hidden="false" customHeight="false" outlineLevel="0" collapsed="false">
      <c r="A75" s="11" t="s">
        <v>28</v>
      </c>
      <c r="B75" s="11" t="s">
        <v>22</v>
      </c>
      <c r="C75" s="8" t="str">
        <f aca="false">A75&amp;"|"&amp;B75</f>
        <v>Nov-2025|Emergency Response</v>
      </c>
      <c r="D75" s="12" t="n">
        <f aca="false">VLOOKUP(B75,'Raw Data'!$H$6:$I$13,2,FALSE())</f>
        <v>7000</v>
      </c>
      <c r="E75" s="12" t="n">
        <f aca="false">INDEX('Raw Data'!$E$5:$E$100,MATCH(C75,'Raw Data'!$F$5:$F$100,0))</f>
        <v>5520</v>
      </c>
      <c r="F75" s="12" t="n">
        <f aca="false">E75-D75</f>
        <v>-1480</v>
      </c>
      <c r="G75" s="13" t="n">
        <f aca="false">IFERROR(F75/D75,0)</f>
        <v>-0.211428571428571</v>
      </c>
      <c r="H75" s="14" t="str">
        <f aca="false">IF(G75&gt;0.05,"Over Budget",IF(G75&lt;-0.05,"Under Budget","On Track"))</f>
        <v>Under Budget</v>
      </c>
      <c r="I75" s="14" t="str">
        <f aca="false">IF(H75="Over Budget","🔴 Over",IF(H75="Under Budget","🟡 Under","🟢 On Track"))</f>
        <v>🟡 Under</v>
      </c>
    </row>
    <row r="76" customFormat="false" ht="15" hidden="false" customHeight="false" outlineLevel="0" collapsed="false">
      <c r="A76" s="11" t="s">
        <v>29</v>
      </c>
      <c r="B76" s="11" t="s">
        <v>22</v>
      </c>
      <c r="C76" s="8" t="str">
        <f aca="false">A76&amp;"|"&amp;B76</f>
        <v>Dec-2025|Emergency Response</v>
      </c>
      <c r="D76" s="12" t="n">
        <f aca="false">VLOOKUP(B76,'Raw Data'!$H$6:$I$13,2,FALSE())</f>
        <v>7000</v>
      </c>
      <c r="E76" s="12" t="n">
        <f aca="false">INDEX('Raw Data'!$E$5:$E$100,MATCH(C76,'Raw Data'!$F$5:$F$100,0))</f>
        <v>6420</v>
      </c>
      <c r="F76" s="12" t="n">
        <f aca="false">E76-D76</f>
        <v>-580</v>
      </c>
      <c r="G76" s="13" t="n">
        <f aca="false">IFERROR(F76/D76,0)</f>
        <v>-0.0828571428571429</v>
      </c>
      <c r="H76" s="14" t="str">
        <f aca="false">IF(G76&gt;0.05,"Over Budget",IF(G76&lt;-0.05,"Under Budget","On Track"))</f>
        <v>Under Budget</v>
      </c>
      <c r="I76" s="14" t="str">
        <f aca="false">IF(H76="Over Budget","🔴 Over",IF(H76="Under Budget","🟡 Under","🟢 On Track"))</f>
        <v>🟡 Under</v>
      </c>
    </row>
    <row r="77" customFormat="false" ht="15" hidden="false" customHeight="false" outlineLevel="0" collapsed="false">
      <c r="A77" s="11" t="s">
        <v>9</v>
      </c>
      <c r="B77" s="11" t="s">
        <v>24</v>
      </c>
      <c r="C77" s="8" t="str">
        <f aca="false">A77&amp;"|"&amp;B77</f>
        <v>Jan-2025|Community Mobilization</v>
      </c>
      <c r="D77" s="12" t="n">
        <f aca="false">VLOOKUP(B77,'Raw Data'!$H$6:$I$13,2,FALSE())</f>
        <v>6000</v>
      </c>
      <c r="E77" s="12" t="n">
        <f aca="false">INDEX('Raw Data'!$E$5:$E$100,MATCH(C77,'Raw Data'!$F$5:$F$100,0))</f>
        <v>5970</v>
      </c>
      <c r="F77" s="12" t="n">
        <f aca="false">E77-D77</f>
        <v>-30</v>
      </c>
      <c r="G77" s="13" t="n">
        <f aca="false">IFERROR(F77/D77,0)</f>
        <v>-0.005</v>
      </c>
      <c r="H77" s="14" t="str">
        <f aca="false">IF(G77&gt;0.05,"Over Budget",IF(G77&lt;-0.05,"Under Budget","On Track"))</f>
        <v>On Track</v>
      </c>
      <c r="I77" s="14" t="str">
        <f aca="false">IF(H77="Over Budget","🔴 Over",IF(H77="Under Budget","🟡 Under","🟢 On Track"))</f>
        <v>🟢 On Track</v>
      </c>
    </row>
    <row r="78" customFormat="false" ht="15" hidden="false" customHeight="false" outlineLevel="0" collapsed="false">
      <c r="A78" s="11" t="s">
        <v>12</v>
      </c>
      <c r="B78" s="11" t="s">
        <v>24</v>
      </c>
      <c r="C78" s="8" t="str">
        <f aca="false">A78&amp;"|"&amp;B78</f>
        <v>Feb-2025|Community Mobilization</v>
      </c>
      <c r="D78" s="12" t="n">
        <f aca="false">VLOOKUP(B78,'Raw Data'!$H$6:$I$13,2,FALSE())</f>
        <v>6000</v>
      </c>
      <c r="E78" s="12" t="n">
        <f aca="false">INDEX('Raw Data'!$E$5:$E$100,MATCH(C78,'Raw Data'!$F$5:$F$100,0))</f>
        <v>6080</v>
      </c>
      <c r="F78" s="12" t="n">
        <f aca="false">E78-D78</f>
        <v>80</v>
      </c>
      <c r="G78" s="13" t="n">
        <f aca="false">IFERROR(F78/D78,0)</f>
        <v>0.0133333333333333</v>
      </c>
      <c r="H78" s="14" t="str">
        <f aca="false">IF(G78&gt;0.05,"Over Budget",IF(G78&lt;-0.05,"Under Budget","On Track"))</f>
        <v>On Track</v>
      </c>
      <c r="I78" s="14" t="str">
        <f aca="false">IF(H78="Over Budget","🔴 Over",IF(H78="Under Budget","🟡 Under","🟢 On Track"))</f>
        <v>🟢 On Track</v>
      </c>
    </row>
    <row r="79" customFormat="false" ht="15" hidden="false" customHeight="false" outlineLevel="0" collapsed="false">
      <c r="A79" s="11" t="s">
        <v>13</v>
      </c>
      <c r="B79" s="11" t="s">
        <v>24</v>
      </c>
      <c r="C79" s="8" t="str">
        <f aca="false">A79&amp;"|"&amp;B79</f>
        <v>Mar-2025|Community Mobilization</v>
      </c>
      <c r="D79" s="12" t="n">
        <f aca="false">VLOOKUP(B79,'Raw Data'!$H$6:$I$13,2,FALSE())</f>
        <v>6000</v>
      </c>
      <c r="E79" s="12" t="n">
        <f aca="false">INDEX('Raw Data'!$E$5:$E$100,MATCH(C79,'Raw Data'!$F$5:$F$100,0))</f>
        <v>5980</v>
      </c>
      <c r="F79" s="12" t="n">
        <f aca="false">E79-D79</f>
        <v>-20</v>
      </c>
      <c r="G79" s="13" t="n">
        <f aca="false">IFERROR(F79/D79,0)</f>
        <v>-0.00333333333333333</v>
      </c>
      <c r="H79" s="14" t="str">
        <f aca="false">IF(G79&gt;0.05,"Over Budget",IF(G79&lt;-0.05,"Under Budget","On Track"))</f>
        <v>On Track</v>
      </c>
      <c r="I79" s="14" t="str">
        <f aca="false">IF(H79="Over Budget","🔴 Over",IF(H79="Under Budget","🟡 Under","🟢 On Track"))</f>
        <v>🟢 On Track</v>
      </c>
    </row>
    <row r="80" customFormat="false" ht="15" hidden="false" customHeight="false" outlineLevel="0" collapsed="false">
      <c r="A80" s="11" t="s">
        <v>15</v>
      </c>
      <c r="B80" s="11" t="s">
        <v>24</v>
      </c>
      <c r="C80" s="8" t="str">
        <f aca="false">A80&amp;"|"&amp;B80</f>
        <v>Apr-2025|Community Mobilization</v>
      </c>
      <c r="D80" s="12" t="n">
        <f aca="false">VLOOKUP(B80,'Raw Data'!$H$6:$I$13,2,FALSE())</f>
        <v>6000</v>
      </c>
      <c r="E80" s="12" t="n">
        <f aca="false">INDEX('Raw Data'!$E$5:$E$100,MATCH(C80,'Raw Data'!$F$5:$F$100,0))</f>
        <v>6030</v>
      </c>
      <c r="F80" s="12" t="n">
        <f aca="false">E80-D80</f>
        <v>30</v>
      </c>
      <c r="G80" s="13" t="n">
        <f aca="false">IFERROR(F80/D80,0)</f>
        <v>0.005</v>
      </c>
      <c r="H80" s="14" t="str">
        <f aca="false">IF(G80&gt;0.05,"Over Budget",IF(G80&lt;-0.05,"Under Budget","On Track"))</f>
        <v>On Track</v>
      </c>
      <c r="I80" s="14" t="str">
        <f aca="false">IF(H80="Over Budget","🔴 Over",IF(H80="Under Budget","🟡 Under","🟢 On Track"))</f>
        <v>🟢 On Track</v>
      </c>
    </row>
    <row r="81" customFormat="false" ht="15" hidden="false" customHeight="false" outlineLevel="0" collapsed="false">
      <c r="A81" s="11" t="s">
        <v>17</v>
      </c>
      <c r="B81" s="11" t="s">
        <v>24</v>
      </c>
      <c r="C81" s="8" t="str">
        <f aca="false">A81&amp;"|"&amp;B81</f>
        <v>May-2025|Community Mobilization</v>
      </c>
      <c r="D81" s="12" t="n">
        <f aca="false">VLOOKUP(B81,'Raw Data'!$H$6:$I$13,2,FALSE())</f>
        <v>6000</v>
      </c>
      <c r="E81" s="12" t="n">
        <f aca="false">INDEX('Raw Data'!$E$5:$E$100,MATCH(C81,'Raw Data'!$F$5:$F$100,0))</f>
        <v>5920</v>
      </c>
      <c r="F81" s="12" t="n">
        <f aca="false">E81-D81</f>
        <v>-80</v>
      </c>
      <c r="G81" s="13" t="n">
        <f aca="false">IFERROR(F81/D81,0)</f>
        <v>-0.0133333333333333</v>
      </c>
      <c r="H81" s="14" t="str">
        <f aca="false">IF(G81&gt;0.05,"Over Budget",IF(G81&lt;-0.05,"Under Budget","On Track"))</f>
        <v>On Track</v>
      </c>
      <c r="I81" s="14" t="str">
        <f aca="false">IF(H81="Over Budget","🔴 Over",IF(H81="Under Budget","🟡 Under","🟢 On Track"))</f>
        <v>🟢 On Track</v>
      </c>
    </row>
    <row r="82" customFormat="false" ht="15" hidden="false" customHeight="false" outlineLevel="0" collapsed="false">
      <c r="A82" s="11" t="s">
        <v>19</v>
      </c>
      <c r="B82" s="11" t="s">
        <v>24</v>
      </c>
      <c r="C82" s="8" t="str">
        <f aca="false">A82&amp;"|"&amp;B82</f>
        <v>Jun-2025|Community Mobilization</v>
      </c>
      <c r="D82" s="12" t="n">
        <f aca="false">VLOOKUP(B82,'Raw Data'!$H$6:$I$13,2,FALSE())</f>
        <v>6000</v>
      </c>
      <c r="E82" s="12" t="n">
        <f aca="false">INDEX('Raw Data'!$E$5:$E$100,MATCH(C82,'Raw Data'!$F$5:$F$100,0))</f>
        <v>6170</v>
      </c>
      <c r="F82" s="12" t="n">
        <f aca="false">E82-D82</f>
        <v>170</v>
      </c>
      <c r="G82" s="13" t="n">
        <f aca="false">IFERROR(F82/D82,0)</f>
        <v>0.0283333333333333</v>
      </c>
      <c r="H82" s="14" t="str">
        <f aca="false">IF(G82&gt;0.05,"Over Budget",IF(G82&lt;-0.05,"Under Budget","On Track"))</f>
        <v>On Track</v>
      </c>
      <c r="I82" s="14" t="str">
        <f aca="false">IF(H82="Over Budget","🔴 Over",IF(H82="Under Budget","🟡 Under","🟢 On Track"))</f>
        <v>🟢 On Track</v>
      </c>
    </row>
    <row r="83" customFormat="false" ht="15" hidden="false" customHeight="false" outlineLevel="0" collapsed="false">
      <c r="A83" s="11" t="s">
        <v>21</v>
      </c>
      <c r="B83" s="11" t="s">
        <v>24</v>
      </c>
      <c r="C83" s="8" t="str">
        <f aca="false">A83&amp;"|"&amp;B83</f>
        <v>Jul-2025|Community Mobilization</v>
      </c>
      <c r="D83" s="12" t="n">
        <f aca="false">VLOOKUP(B83,'Raw Data'!$H$6:$I$13,2,FALSE())</f>
        <v>6000</v>
      </c>
      <c r="E83" s="12" t="n">
        <f aca="false">INDEX('Raw Data'!$E$5:$E$100,MATCH(C83,'Raw Data'!$F$5:$F$100,0))</f>
        <v>5940</v>
      </c>
      <c r="F83" s="12" t="n">
        <f aca="false">E83-D83</f>
        <v>-60</v>
      </c>
      <c r="G83" s="13" t="n">
        <f aca="false">IFERROR(F83/D83,0)</f>
        <v>-0.01</v>
      </c>
      <c r="H83" s="14" t="str">
        <f aca="false">IF(G83&gt;0.05,"Over Budget",IF(G83&lt;-0.05,"Under Budget","On Track"))</f>
        <v>On Track</v>
      </c>
      <c r="I83" s="14" t="str">
        <f aca="false">IF(H83="Over Budget","🔴 Over",IF(H83="Under Budget","🟡 Under","🟢 On Track"))</f>
        <v>🟢 On Track</v>
      </c>
    </row>
    <row r="84" customFormat="false" ht="15" hidden="false" customHeight="false" outlineLevel="0" collapsed="false">
      <c r="A84" s="11" t="s">
        <v>23</v>
      </c>
      <c r="B84" s="11" t="s">
        <v>24</v>
      </c>
      <c r="C84" s="8" t="str">
        <f aca="false">A84&amp;"|"&amp;B84</f>
        <v>Aug-2025|Community Mobilization</v>
      </c>
      <c r="D84" s="12" t="n">
        <f aca="false">VLOOKUP(B84,'Raw Data'!$H$6:$I$13,2,FALSE())</f>
        <v>6000</v>
      </c>
      <c r="E84" s="12" t="n">
        <f aca="false">INDEX('Raw Data'!$E$5:$E$100,MATCH(C84,'Raw Data'!$F$5:$F$100,0))</f>
        <v>5820</v>
      </c>
      <c r="F84" s="12" t="n">
        <f aca="false">E84-D84</f>
        <v>-180</v>
      </c>
      <c r="G84" s="13" t="n">
        <f aca="false">IFERROR(F84/D84,0)</f>
        <v>-0.03</v>
      </c>
      <c r="H84" s="14" t="str">
        <f aca="false">IF(G84&gt;0.05,"Over Budget",IF(G84&lt;-0.05,"Under Budget","On Track"))</f>
        <v>On Track</v>
      </c>
      <c r="I84" s="14" t="str">
        <f aca="false">IF(H84="Over Budget","🔴 Over",IF(H84="Under Budget","🟡 Under","🟢 On Track"))</f>
        <v>🟢 On Track</v>
      </c>
    </row>
    <row r="85" customFormat="false" ht="15" hidden="false" customHeight="false" outlineLevel="0" collapsed="false">
      <c r="A85" s="11" t="s">
        <v>25</v>
      </c>
      <c r="B85" s="11" t="s">
        <v>24</v>
      </c>
      <c r="C85" s="8" t="str">
        <f aca="false">A85&amp;"|"&amp;B85</f>
        <v>Sep-2025|Community Mobilization</v>
      </c>
      <c r="D85" s="12" t="n">
        <f aca="false">VLOOKUP(B85,'Raw Data'!$H$6:$I$13,2,FALSE())</f>
        <v>6000</v>
      </c>
      <c r="E85" s="12" t="n">
        <f aca="false">INDEX('Raw Data'!$E$5:$E$100,MATCH(C85,'Raw Data'!$F$5:$F$100,0))</f>
        <v>6130</v>
      </c>
      <c r="F85" s="12" t="n">
        <f aca="false">E85-D85</f>
        <v>130</v>
      </c>
      <c r="G85" s="13" t="n">
        <f aca="false">IFERROR(F85/D85,0)</f>
        <v>0.0216666666666667</v>
      </c>
      <c r="H85" s="14" t="str">
        <f aca="false">IF(G85&gt;0.05,"Over Budget",IF(G85&lt;-0.05,"Under Budget","On Track"))</f>
        <v>On Track</v>
      </c>
      <c r="I85" s="14" t="str">
        <f aca="false">IF(H85="Over Budget","🔴 Over",IF(H85="Under Budget","🟡 Under","🟢 On Track"))</f>
        <v>🟢 On Track</v>
      </c>
    </row>
    <row r="86" customFormat="false" ht="15" hidden="false" customHeight="false" outlineLevel="0" collapsed="false">
      <c r="A86" s="11" t="s">
        <v>27</v>
      </c>
      <c r="B86" s="11" t="s">
        <v>24</v>
      </c>
      <c r="C86" s="8" t="str">
        <f aca="false">A86&amp;"|"&amp;B86</f>
        <v>Oct-2025|Community Mobilization</v>
      </c>
      <c r="D86" s="12" t="n">
        <f aca="false">VLOOKUP(B86,'Raw Data'!$H$6:$I$13,2,FALSE())</f>
        <v>6000</v>
      </c>
      <c r="E86" s="12" t="n">
        <f aca="false">INDEX('Raw Data'!$E$5:$E$100,MATCH(C86,'Raw Data'!$F$5:$F$100,0))</f>
        <v>5880</v>
      </c>
      <c r="F86" s="12" t="n">
        <f aca="false">E86-D86</f>
        <v>-120</v>
      </c>
      <c r="G86" s="13" t="n">
        <f aca="false">IFERROR(F86/D86,0)</f>
        <v>-0.02</v>
      </c>
      <c r="H86" s="14" t="str">
        <f aca="false">IF(G86&gt;0.05,"Over Budget",IF(G86&lt;-0.05,"Under Budget","On Track"))</f>
        <v>On Track</v>
      </c>
      <c r="I86" s="14" t="str">
        <f aca="false">IF(H86="Over Budget","🔴 Over",IF(H86="Under Budget","🟡 Under","🟢 On Track"))</f>
        <v>🟢 On Track</v>
      </c>
    </row>
    <row r="87" customFormat="false" ht="15" hidden="false" customHeight="false" outlineLevel="0" collapsed="false">
      <c r="A87" s="11" t="s">
        <v>28</v>
      </c>
      <c r="B87" s="11" t="s">
        <v>24</v>
      </c>
      <c r="C87" s="8" t="str">
        <f aca="false">A87&amp;"|"&amp;B87</f>
        <v>Nov-2025|Community Mobilization</v>
      </c>
      <c r="D87" s="12" t="n">
        <f aca="false">VLOOKUP(B87,'Raw Data'!$H$6:$I$13,2,FALSE())</f>
        <v>6000</v>
      </c>
      <c r="E87" s="12" t="n">
        <f aca="false">INDEX('Raw Data'!$E$5:$E$100,MATCH(C87,'Raw Data'!$F$5:$F$100,0))</f>
        <v>6080</v>
      </c>
      <c r="F87" s="12" t="n">
        <f aca="false">E87-D87</f>
        <v>80</v>
      </c>
      <c r="G87" s="13" t="n">
        <f aca="false">IFERROR(F87/D87,0)</f>
        <v>0.0133333333333333</v>
      </c>
      <c r="H87" s="14" t="str">
        <f aca="false">IF(G87&gt;0.05,"Over Budget",IF(G87&lt;-0.05,"Under Budget","On Track"))</f>
        <v>On Track</v>
      </c>
      <c r="I87" s="14" t="str">
        <f aca="false">IF(H87="Over Budget","🔴 Over",IF(H87="Under Budget","🟡 Under","🟢 On Track"))</f>
        <v>🟢 On Track</v>
      </c>
    </row>
    <row r="88" customFormat="false" ht="15" hidden="false" customHeight="false" outlineLevel="0" collapsed="false">
      <c r="A88" s="11" t="s">
        <v>29</v>
      </c>
      <c r="B88" s="11" t="s">
        <v>24</v>
      </c>
      <c r="C88" s="8" t="str">
        <f aca="false">A88&amp;"|"&amp;B88</f>
        <v>Dec-2025|Community Mobilization</v>
      </c>
      <c r="D88" s="12" t="n">
        <f aca="false">VLOOKUP(B88,'Raw Data'!$H$6:$I$13,2,FALSE())</f>
        <v>6000</v>
      </c>
      <c r="E88" s="12" t="n">
        <f aca="false">INDEX('Raw Data'!$E$5:$E$100,MATCH(C88,'Raw Data'!$F$5:$F$100,0))</f>
        <v>6100</v>
      </c>
      <c r="F88" s="12" t="n">
        <f aca="false">E88-D88</f>
        <v>100</v>
      </c>
      <c r="G88" s="13" t="n">
        <f aca="false">IFERROR(F88/D88,0)</f>
        <v>0.0166666666666667</v>
      </c>
      <c r="H88" s="14" t="str">
        <f aca="false">IF(G88&gt;0.05,"Over Budget",IF(G88&lt;-0.05,"Under Budget","On Track"))</f>
        <v>On Track</v>
      </c>
      <c r="I88" s="14" t="str">
        <f aca="false">IF(H88="Over Budget","🔴 Over",IF(H88="Under Budget","🟡 Under","🟢 On Track"))</f>
        <v>🟢 On Track</v>
      </c>
    </row>
    <row r="89" customFormat="false" ht="15" hidden="false" customHeight="false" outlineLevel="0" collapsed="false">
      <c r="A89" s="11" t="s">
        <v>9</v>
      </c>
      <c r="B89" s="11" t="s">
        <v>26</v>
      </c>
      <c r="C89" s="8" t="str">
        <f aca="false">A89&amp;"|"&amp;B89</f>
        <v>Jan-2025|Admin &amp; Operations</v>
      </c>
      <c r="D89" s="12" t="n">
        <f aca="false">VLOOKUP(B89,'Raw Data'!$H$6:$I$13,2,FALSE())</f>
        <v>7000</v>
      </c>
      <c r="E89" s="12" t="n">
        <f aca="false">INDEX('Raw Data'!$E$5:$E$100,MATCH(C89,'Raw Data'!$F$5:$F$100,0))</f>
        <v>7180</v>
      </c>
      <c r="F89" s="12" t="n">
        <f aca="false">E89-D89</f>
        <v>180</v>
      </c>
      <c r="G89" s="13" t="n">
        <f aca="false">IFERROR(F89/D89,0)</f>
        <v>0.0257142857142857</v>
      </c>
      <c r="H89" s="14" t="str">
        <f aca="false">IF(G89&gt;0.05,"Over Budget",IF(G89&lt;-0.05,"Under Budget","On Track"))</f>
        <v>On Track</v>
      </c>
      <c r="I89" s="14" t="str">
        <f aca="false">IF(H89="Over Budget","🔴 Over",IF(H89="Under Budget","🟡 Under","🟢 On Track"))</f>
        <v>🟢 On Track</v>
      </c>
    </row>
    <row r="90" customFormat="false" ht="15" hidden="false" customHeight="false" outlineLevel="0" collapsed="false">
      <c r="A90" s="11" t="s">
        <v>12</v>
      </c>
      <c r="B90" s="11" t="s">
        <v>26</v>
      </c>
      <c r="C90" s="8" t="str">
        <f aca="false">A90&amp;"|"&amp;B90</f>
        <v>Feb-2025|Admin &amp; Operations</v>
      </c>
      <c r="D90" s="12" t="n">
        <f aca="false">VLOOKUP(B90,'Raw Data'!$H$6:$I$13,2,FALSE())</f>
        <v>7000</v>
      </c>
      <c r="E90" s="12" t="n">
        <f aca="false">INDEX('Raw Data'!$E$5:$E$100,MATCH(C90,'Raw Data'!$F$5:$F$100,0))</f>
        <v>7200</v>
      </c>
      <c r="F90" s="12" t="n">
        <f aca="false">E90-D90</f>
        <v>200</v>
      </c>
      <c r="G90" s="13" t="n">
        <f aca="false">IFERROR(F90/D90,0)</f>
        <v>0.0285714285714286</v>
      </c>
      <c r="H90" s="14" t="str">
        <f aca="false">IF(G90&gt;0.05,"Over Budget",IF(G90&lt;-0.05,"Under Budget","On Track"))</f>
        <v>On Track</v>
      </c>
      <c r="I90" s="14" t="str">
        <f aca="false">IF(H90="Over Budget","🔴 Over",IF(H90="Under Budget","🟡 Under","🟢 On Track"))</f>
        <v>🟢 On Track</v>
      </c>
    </row>
    <row r="91" customFormat="false" ht="15" hidden="false" customHeight="false" outlineLevel="0" collapsed="false">
      <c r="A91" s="11" t="s">
        <v>13</v>
      </c>
      <c r="B91" s="11" t="s">
        <v>26</v>
      </c>
      <c r="C91" s="8" t="str">
        <f aca="false">A91&amp;"|"&amp;B91</f>
        <v>Mar-2025|Admin &amp; Operations</v>
      </c>
      <c r="D91" s="12" t="n">
        <f aca="false">VLOOKUP(B91,'Raw Data'!$H$6:$I$13,2,FALSE())</f>
        <v>7000</v>
      </c>
      <c r="E91" s="12" t="n">
        <f aca="false">INDEX('Raw Data'!$E$5:$E$100,MATCH(C91,'Raw Data'!$F$5:$F$100,0))</f>
        <v>7280</v>
      </c>
      <c r="F91" s="12" t="n">
        <f aca="false">E91-D91</f>
        <v>280</v>
      </c>
      <c r="G91" s="13" t="n">
        <f aca="false">IFERROR(F91/D91,0)</f>
        <v>0.04</v>
      </c>
      <c r="H91" s="14" t="str">
        <f aca="false">IF(G91&gt;0.05,"Over Budget",IF(G91&lt;-0.05,"Under Budget","On Track"))</f>
        <v>On Track</v>
      </c>
      <c r="I91" s="14" t="str">
        <f aca="false">IF(H91="Over Budget","🔴 Over",IF(H91="Under Budget","🟡 Under","🟢 On Track"))</f>
        <v>🟢 On Track</v>
      </c>
    </row>
    <row r="92" customFormat="false" ht="15" hidden="false" customHeight="false" outlineLevel="0" collapsed="false">
      <c r="A92" s="11" t="s">
        <v>15</v>
      </c>
      <c r="B92" s="11" t="s">
        <v>26</v>
      </c>
      <c r="C92" s="8" t="str">
        <f aca="false">A92&amp;"|"&amp;B92</f>
        <v>Apr-2025|Admin &amp; Operations</v>
      </c>
      <c r="D92" s="12" t="n">
        <f aca="false">VLOOKUP(B92,'Raw Data'!$H$6:$I$13,2,FALSE())</f>
        <v>7000</v>
      </c>
      <c r="E92" s="12" t="n">
        <f aca="false">INDEX('Raw Data'!$E$5:$E$100,MATCH(C92,'Raw Data'!$F$5:$F$100,0))</f>
        <v>7350</v>
      </c>
      <c r="F92" s="12" t="n">
        <f aca="false">E92-D92</f>
        <v>350</v>
      </c>
      <c r="G92" s="13" t="n">
        <f aca="false">IFERROR(F92/D92,0)</f>
        <v>0.05</v>
      </c>
      <c r="H92" s="14" t="str">
        <f aca="false">IF(G92&gt;0.05,"Over Budget",IF(G92&lt;-0.05,"Under Budget","On Track"))</f>
        <v>On Track</v>
      </c>
      <c r="I92" s="14" t="str">
        <f aca="false">IF(H92="Over Budget","🔴 Over",IF(H92="Under Budget","🟡 Under","🟢 On Track"))</f>
        <v>🟢 On Track</v>
      </c>
    </row>
    <row r="93" customFormat="false" ht="15" hidden="false" customHeight="false" outlineLevel="0" collapsed="false">
      <c r="A93" s="11" t="s">
        <v>17</v>
      </c>
      <c r="B93" s="11" t="s">
        <v>26</v>
      </c>
      <c r="C93" s="8" t="str">
        <f aca="false">A93&amp;"|"&amp;B93</f>
        <v>May-2025|Admin &amp; Operations</v>
      </c>
      <c r="D93" s="12" t="n">
        <f aca="false">VLOOKUP(B93,'Raw Data'!$H$6:$I$13,2,FALSE())</f>
        <v>7000</v>
      </c>
      <c r="E93" s="12" t="n">
        <f aca="false">INDEX('Raw Data'!$E$5:$E$100,MATCH(C93,'Raw Data'!$F$5:$F$100,0))</f>
        <v>7310</v>
      </c>
      <c r="F93" s="12" t="n">
        <f aca="false">E93-D93</f>
        <v>310</v>
      </c>
      <c r="G93" s="13" t="n">
        <f aca="false">IFERROR(F93/D93,0)</f>
        <v>0.0442857142857143</v>
      </c>
      <c r="H93" s="14" t="str">
        <f aca="false">IF(G93&gt;0.05,"Over Budget",IF(G93&lt;-0.05,"Under Budget","On Track"))</f>
        <v>On Track</v>
      </c>
      <c r="I93" s="14" t="str">
        <f aca="false">IF(H93="Over Budget","🔴 Over",IF(H93="Under Budget","🟡 Under","🟢 On Track"))</f>
        <v>🟢 On Track</v>
      </c>
    </row>
    <row r="94" customFormat="false" ht="15" hidden="false" customHeight="false" outlineLevel="0" collapsed="false">
      <c r="A94" s="11" t="s">
        <v>19</v>
      </c>
      <c r="B94" s="11" t="s">
        <v>26</v>
      </c>
      <c r="C94" s="8" t="str">
        <f aca="false">A94&amp;"|"&amp;B94</f>
        <v>Jun-2025|Admin &amp; Operations</v>
      </c>
      <c r="D94" s="12" t="n">
        <f aca="false">VLOOKUP(B94,'Raw Data'!$H$6:$I$13,2,FALSE())</f>
        <v>7000</v>
      </c>
      <c r="E94" s="12" t="n">
        <f aca="false">INDEX('Raw Data'!$E$5:$E$100,MATCH(C94,'Raw Data'!$F$5:$F$100,0))</f>
        <v>7150</v>
      </c>
      <c r="F94" s="12" t="n">
        <f aca="false">E94-D94</f>
        <v>150</v>
      </c>
      <c r="G94" s="13" t="n">
        <f aca="false">IFERROR(F94/D94,0)</f>
        <v>0.0214285714285714</v>
      </c>
      <c r="H94" s="14" t="str">
        <f aca="false">IF(G94&gt;0.05,"Over Budget",IF(G94&lt;-0.05,"Under Budget","On Track"))</f>
        <v>On Track</v>
      </c>
      <c r="I94" s="14" t="str">
        <f aca="false">IF(H94="Over Budget","🔴 Over",IF(H94="Under Budget","🟡 Under","🟢 On Track"))</f>
        <v>🟢 On Track</v>
      </c>
    </row>
    <row r="95" customFormat="false" ht="15" hidden="false" customHeight="false" outlineLevel="0" collapsed="false">
      <c r="A95" s="11" t="s">
        <v>21</v>
      </c>
      <c r="B95" s="11" t="s">
        <v>26</v>
      </c>
      <c r="C95" s="8" t="str">
        <f aca="false">A95&amp;"|"&amp;B95</f>
        <v>Jul-2025|Admin &amp; Operations</v>
      </c>
      <c r="D95" s="12" t="n">
        <f aca="false">VLOOKUP(B95,'Raw Data'!$H$6:$I$13,2,FALSE())</f>
        <v>7000</v>
      </c>
      <c r="E95" s="12" t="n">
        <f aca="false">INDEX('Raw Data'!$E$5:$E$100,MATCH(C95,'Raw Data'!$F$5:$F$100,0))</f>
        <v>7380</v>
      </c>
      <c r="F95" s="12" t="n">
        <f aca="false">E95-D95</f>
        <v>380</v>
      </c>
      <c r="G95" s="13" t="n">
        <f aca="false">IFERROR(F95/D95,0)</f>
        <v>0.0542857142857143</v>
      </c>
      <c r="H95" s="14" t="str">
        <f aca="false">IF(G95&gt;0.05,"Over Budget",IF(G95&lt;-0.05,"Under Budget","On Track"))</f>
        <v>Over Budget</v>
      </c>
      <c r="I95" s="14" t="str">
        <f aca="false">IF(H95="Over Budget","🔴 Over",IF(H95="Under Budget","🟡 Under","🟢 On Track"))</f>
        <v>🔴 Over</v>
      </c>
    </row>
    <row r="96" customFormat="false" ht="15" hidden="false" customHeight="false" outlineLevel="0" collapsed="false">
      <c r="A96" s="11" t="s">
        <v>23</v>
      </c>
      <c r="B96" s="11" t="s">
        <v>26</v>
      </c>
      <c r="C96" s="8" t="str">
        <f aca="false">A96&amp;"|"&amp;B96</f>
        <v>Aug-2025|Admin &amp; Operations</v>
      </c>
      <c r="D96" s="12" t="n">
        <f aca="false">VLOOKUP(B96,'Raw Data'!$H$6:$I$13,2,FALSE())</f>
        <v>7000</v>
      </c>
      <c r="E96" s="12" t="n">
        <f aca="false">INDEX('Raw Data'!$E$5:$E$100,MATCH(C96,'Raw Data'!$F$5:$F$100,0))</f>
        <v>7390</v>
      </c>
      <c r="F96" s="12" t="n">
        <f aca="false">E96-D96</f>
        <v>390</v>
      </c>
      <c r="G96" s="13" t="n">
        <f aca="false">IFERROR(F96/D96,0)</f>
        <v>0.0557142857142857</v>
      </c>
      <c r="H96" s="14" t="str">
        <f aca="false">IF(G96&gt;0.05,"Over Budget",IF(G96&lt;-0.05,"Under Budget","On Track"))</f>
        <v>Over Budget</v>
      </c>
      <c r="I96" s="14" t="str">
        <f aca="false">IF(H96="Over Budget","🔴 Over",IF(H96="Under Budget","🟡 Under","🟢 On Track"))</f>
        <v>🔴 Over</v>
      </c>
    </row>
    <row r="97" customFormat="false" ht="15" hidden="false" customHeight="false" outlineLevel="0" collapsed="false">
      <c r="A97" s="11" t="s">
        <v>25</v>
      </c>
      <c r="B97" s="11" t="s">
        <v>26</v>
      </c>
      <c r="C97" s="8" t="str">
        <f aca="false">A97&amp;"|"&amp;B97</f>
        <v>Sep-2025|Admin &amp; Operations</v>
      </c>
      <c r="D97" s="12" t="n">
        <f aca="false">VLOOKUP(B97,'Raw Data'!$H$6:$I$13,2,FALSE())</f>
        <v>7000</v>
      </c>
      <c r="E97" s="12" t="n">
        <f aca="false">INDEX('Raw Data'!$E$5:$E$100,MATCH(C97,'Raw Data'!$F$5:$F$100,0))</f>
        <v>7500</v>
      </c>
      <c r="F97" s="12" t="n">
        <f aca="false">E97-D97</f>
        <v>500</v>
      </c>
      <c r="G97" s="13" t="n">
        <f aca="false">IFERROR(F97/D97,0)</f>
        <v>0.0714285714285714</v>
      </c>
      <c r="H97" s="14" t="str">
        <f aca="false">IF(G97&gt;0.05,"Over Budget",IF(G97&lt;-0.05,"Under Budget","On Track"))</f>
        <v>Over Budget</v>
      </c>
      <c r="I97" s="14" t="str">
        <f aca="false">IF(H97="Over Budget","🔴 Over",IF(H97="Under Budget","🟡 Under","🟢 On Track"))</f>
        <v>🔴 Over</v>
      </c>
    </row>
    <row r="98" customFormat="false" ht="15" hidden="false" customHeight="false" outlineLevel="0" collapsed="false">
      <c r="A98" s="11" t="s">
        <v>27</v>
      </c>
      <c r="B98" s="11" t="s">
        <v>26</v>
      </c>
      <c r="C98" s="8" t="str">
        <f aca="false">A98&amp;"|"&amp;B98</f>
        <v>Oct-2025|Admin &amp; Operations</v>
      </c>
      <c r="D98" s="12" t="n">
        <f aca="false">VLOOKUP(B98,'Raw Data'!$H$6:$I$13,2,FALSE())</f>
        <v>7000</v>
      </c>
      <c r="E98" s="12" t="n">
        <f aca="false">INDEX('Raw Data'!$E$5:$E$100,MATCH(C98,'Raw Data'!$F$5:$F$100,0))</f>
        <v>7540</v>
      </c>
      <c r="F98" s="12" t="n">
        <f aca="false">E98-D98</f>
        <v>540</v>
      </c>
      <c r="G98" s="13" t="n">
        <f aca="false">IFERROR(F98/D98,0)</f>
        <v>0.0771428571428571</v>
      </c>
      <c r="H98" s="14" t="str">
        <f aca="false">IF(G98&gt;0.05,"Over Budget",IF(G98&lt;-0.05,"Under Budget","On Track"))</f>
        <v>Over Budget</v>
      </c>
      <c r="I98" s="14" t="str">
        <f aca="false">IF(H98="Over Budget","🔴 Over",IF(H98="Under Budget","🟡 Under","🟢 On Track"))</f>
        <v>🔴 Over</v>
      </c>
    </row>
    <row r="99" customFormat="false" ht="15" hidden="false" customHeight="false" outlineLevel="0" collapsed="false">
      <c r="A99" s="11" t="s">
        <v>28</v>
      </c>
      <c r="B99" s="11" t="s">
        <v>26</v>
      </c>
      <c r="C99" s="8" t="str">
        <f aca="false">A99&amp;"|"&amp;B99</f>
        <v>Nov-2025|Admin &amp; Operations</v>
      </c>
      <c r="D99" s="12" t="n">
        <f aca="false">VLOOKUP(B99,'Raw Data'!$H$6:$I$13,2,FALSE())</f>
        <v>7000</v>
      </c>
      <c r="E99" s="12" t="n">
        <f aca="false">INDEX('Raw Data'!$E$5:$E$100,MATCH(C99,'Raw Data'!$F$5:$F$100,0))</f>
        <v>7370</v>
      </c>
      <c r="F99" s="12" t="n">
        <f aca="false">E99-D99</f>
        <v>370</v>
      </c>
      <c r="G99" s="13" t="n">
        <f aca="false">IFERROR(F99/D99,0)</f>
        <v>0.0528571428571429</v>
      </c>
      <c r="H99" s="14" t="str">
        <f aca="false">IF(G99&gt;0.05,"Over Budget",IF(G99&lt;-0.05,"Under Budget","On Track"))</f>
        <v>Over Budget</v>
      </c>
      <c r="I99" s="14" t="str">
        <f aca="false">IF(H99="Over Budget","🔴 Over",IF(H99="Under Budget","🟡 Under","🟢 On Track"))</f>
        <v>🔴 Over</v>
      </c>
    </row>
    <row r="100" customFormat="false" ht="15" hidden="false" customHeight="false" outlineLevel="0" collapsed="false">
      <c r="A100" s="11" t="s">
        <v>29</v>
      </c>
      <c r="B100" s="11" t="s">
        <v>26</v>
      </c>
      <c r="C100" s="8" t="str">
        <f aca="false">A100&amp;"|"&amp;B100</f>
        <v>Dec-2025|Admin &amp; Operations</v>
      </c>
      <c r="D100" s="12" t="n">
        <f aca="false">VLOOKUP(B100,'Raw Data'!$H$6:$I$13,2,FALSE())</f>
        <v>7000</v>
      </c>
      <c r="E100" s="12" t="n">
        <f aca="false">INDEX('Raw Data'!$E$5:$E$100,MATCH(C100,'Raw Data'!$F$5:$F$100,0))</f>
        <v>7600</v>
      </c>
      <c r="F100" s="12" t="n">
        <f aca="false">E100-D100</f>
        <v>600</v>
      </c>
      <c r="G100" s="13" t="n">
        <f aca="false">IFERROR(F100/D100,0)</f>
        <v>0.0857142857142857</v>
      </c>
      <c r="H100" s="14" t="str">
        <f aca="false">IF(G100&gt;0.05,"Over Budget",IF(G100&lt;-0.05,"Under Budget","On Track"))</f>
        <v>Over Budget</v>
      </c>
      <c r="I100" s="14" t="str">
        <f aca="false">IF(H100="Over Budget","🔴 Over",IF(H100="Under Budget","🟡 Under","🟢 On Track"))</f>
        <v>🔴 Over</v>
      </c>
    </row>
  </sheetData>
  <conditionalFormatting sqref="G5:G100">
    <cfRule type="colorScale" priority="2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conditionalFormatting sqref="H5:H100">
    <cfRule type="cellIs" priority="3" operator="equal" aboveAverage="0" equalAverage="0" bottom="0" percent="0" rank="0" text="" dxfId="89">
      <formula>"Over Budget"</formula>
    </cfRule>
    <cfRule type="cellIs" priority="4" operator="equal" aboveAverage="0" equalAverage="0" bottom="0" percent="0" rank="0" text="" dxfId="90">
      <formula>"Under Budget"</formula>
    </cfRule>
    <cfRule type="cellIs" priority="5" operator="equal" aboveAverage="0" equalAverage="0" bottom="0" percent="0" rank="0" text="" dxfId="91">
      <formula>"On Track"</formula>
    </cfRule>
  </conditionalFormatting>
  <conditionalFormatting sqref="I5:I100">
    <cfRule type="expression" priority="6" aboveAverage="0" equalAverage="0" bottom="0" percent="0" rank="0" text="" dxfId="89">
      <formula>ISNUMBER(SEARCH("Over",I5))</formula>
    </cfRule>
    <cfRule type="expression" priority="7" aboveAverage="0" equalAverage="0" bottom="0" percent="0" rank="0" text="" dxfId="90">
      <formula>ISNUMBER(SEARCH("Under",I5))</formula>
    </cfRule>
    <cfRule type="expression" priority="8" aboveAverage="0" equalAverage="0" bottom="0" percent="0" rank="0" text="" dxfId="91">
      <formula>ISNUMBER(SEARCH("On Track",I5))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5"/>
  </cols>
  <sheetData>
    <row r="1" customFormat="false" ht="19.7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4" t="s">
        <v>39</v>
      </c>
    </row>
    <row r="5" customFormat="false" ht="15" hidden="false" customHeight="false" outlineLevel="0" collapsed="false">
      <c r="A5" s="3" t="s">
        <v>4</v>
      </c>
      <c r="B5" s="3" t="s">
        <v>40</v>
      </c>
      <c r="C5" s="3" t="s">
        <v>41</v>
      </c>
      <c r="D5" s="3" t="s">
        <v>33</v>
      </c>
      <c r="E5" s="3" t="s">
        <v>34</v>
      </c>
      <c r="F5" s="3" t="s">
        <v>35</v>
      </c>
    </row>
    <row r="6" customFormat="false" ht="15" hidden="false" customHeight="false" outlineLevel="0" collapsed="false">
      <c r="A6" s="11" t="s">
        <v>10</v>
      </c>
      <c r="B6" s="12" t="n">
        <f aca="false">SUMIF(Analysis!$B$5:$B$100,A6,Analysis!$D$5:$D$100)</f>
        <v>180000</v>
      </c>
      <c r="C6" s="12" t="n">
        <f aca="false">SUMIF(Analysis!$B$5:$B$100,A6,Analysis!$E$5:$E$100)</f>
        <v>181340</v>
      </c>
      <c r="D6" s="12" t="n">
        <f aca="false">C6-B6</f>
        <v>1340</v>
      </c>
      <c r="E6" s="13" t="n">
        <f aca="false">IFERROR(D6/B6,0)</f>
        <v>0.00744444444444444</v>
      </c>
      <c r="F6" s="14" t="str">
        <f aca="false">IF(E6&gt;0.05,"Over Budget",IF(E6&lt;-0.05,"Under Budget","On Track"))</f>
        <v>On Track</v>
      </c>
    </row>
    <row r="7" customFormat="false" ht="15" hidden="false" customHeight="false" outlineLevel="0" collapsed="false">
      <c r="A7" s="11" t="s">
        <v>14</v>
      </c>
      <c r="B7" s="12" t="n">
        <f aca="false">SUMIF(Analysis!$B$5:$B$100,A7,Analysis!$D$5:$D$100)</f>
        <v>120000</v>
      </c>
      <c r="C7" s="12" t="n">
        <f aca="false">SUMIF(Analysis!$B$5:$B$100,A7,Analysis!$E$5:$E$100)</f>
        <v>108920</v>
      </c>
      <c r="D7" s="12" t="n">
        <f aca="false">C7-B7</f>
        <v>-11080</v>
      </c>
      <c r="E7" s="13" t="n">
        <f aca="false">IFERROR(D7/B7,0)</f>
        <v>-0.0923333333333333</v>
      </c>
      <c r="F7" s="14" t="str">
        <f aca="false">IF(E7&gt;0.05,"Over Budget",IF(E7&lt;-0.05,"Under Budget","On Track"))</f>
        <v>Under Budget</v>
      </c>
    </row>
    <row r="8" customFormat="false" ht="15" hidden="false" customHeight="false" outlineLevel="0" collapsed="false">
      <c r="A8" s="11" t="s">
        <v>16</v>
      </c>
      <c r="B8" s="12" t="n">
        <f aca="false">SUMIF(Analysis!$B$5:$B$100,A8,Analysis!$D$5:$D$100)</f>
        <v>108000</v>
      </c>
      <c r="C8" s="12" t="n">
        <f aca="false">SUMIF(Analysis!$B$5:$B$100,A8,Analysis!$E$5:$E$100)</f>
        <v>110210</v>
      </c>
      <c r="D8" s="12" t="n">
        <f aca="false">C8-B8</f>
        <v>2210</v>
      </c>
      <c r="E8" s="13" t="n">
        <f aca="false">IFERROR(D8/B8,0)</f>
        <v>0.020462962962963</v>
      </c>
      <c r="F8" s="14" t="str">
        <f aca="false">IF(E8&gt;0.05,"Over Budget",IF(E8&lt;-0.05,"Under Budget","On Track"))</f>
        <v>On Track</v>
      </c>
    </row>
    <row r="9" customFormat="false" ht="15" hidden="false" customHeight="false" outlineLevel="0" collapsed="false">
      <c r="A9" s="11" t="s">
        <v>18</v>
      </c>
      <c r="B9" s="12" t="n">
        <f aca="false">SUMIF(Analysis!$B$5:$B$100,A9,Analysis!$D$5:$D$100)</f>
        <v>132000</v>
      </c>
      <c r="C9" s="12" t="n">
        <f aca="false">SUMIF(Analysis!$B$5:$B$100,A9,Analysis!$E$5:$E$100)</f>
        <v>150400</v>
      </c>
      <c r="D9" s="12" t="n">
        <f aca="false">C9-B9</f>
        <v>18400</v>
      </c>
      <c r="E9" s="13" t="n">
        <f aca="false">IFERROR(D9/B9,0)</f>
        <v>0.139393939393939</v>
      </c>
      <c r="F9" s="14" t="str">
        <f aca="false">IF(E9&gt;0.05,"Over Budget",IF(E9&lt;-0.05,"Under Budget","On Track"))</f>
        <v>Over Budget</v>
      </c>
    </row>
    <row r="10" customFormat="false" ht="15" hidden="false" customHeight="false" outlineLevel="0" collapsed="false">
      <c r="A10" s="11" t="s">
        <v>20</v>
      </c>
      <c r="B10" s="12" t="n">
        <f aca="false">SUMIF(Analysis!$B$5:$B$100,A10,Analysis!$D$5:$D$100)</f>
        <v>60000</v>
      </c>
      <c r="C10" s="12" t="n">
        <f aca="false">SUMIF(Analysis!$B$5:$B$100,A10,Analysis!$E$5:$E$100)</f>
        <v>52490</v>
      </c>
      <c r="D10" s="12" t="n">
        <f aca="false">C10-B10</f>
        <v>-7510</v>
      </c>
      <c r="E10" s="13" t="n">
        <f aca="false">IFERROR(D10/B10,0)</f>
        <v>-0.125166666666667</v>
      </c>
      <c r="F10" s="14" t="str">
        <f aca="false">IF(E10&gt;0.05,"Over Budget",IF(E10&lt;-0.05,"Under Budget","On Track"))</f>
        <v>Under Budget</v>
      </c>
    </row>
    <row r="11" customFormat="false" ht="15" hidden="false" customHeight="false" outlineLevel="0" collapsed="false">
      <c r="A11" s="11" t="s">
        <v>22</v>
      </c>
      <c r="B11" s="12" t="n">
        <f aca="false">SUMIF(Analysis!$B$5:$B$100,A11,Analysis!$D$5:$D$100)</f>
        <v>84000</v>
      </c>
      <c r="C11" s="12" t="n">
        <f aca="false">SUMIF(Analysis!$B$5:$B$100,A11,Analysis!$E$5:$E$100)</f>
        <v>87290</v>
      </c>
      <c r="D11" s="12" t="n">
        <f aca="false">C11-B11</f>
        <v>3290</v>
      </c>
      <c r="E11" s="13" t="n">
        <f aca="false">IFERROR(D11/B11,0)</f>
        <v>0.0391666666666667</v>
      </c>
      <c r="F11" s="14" t="str">
        <f aca="false">IF(E11&gt;0.05,"Over Budget",IF(E11&lt;-0.05,"Under Budget","On Track"))</f>
        <v>On Track</v>
      </c>
    </row>
    <row r="12" customFormat="false" ht="15" hidden="false" customHeight="false" outlineLevel="0" collapsed="false">
      <c r="A12" s="11" t="s">
        <v>24</v>
      </c>
      <c r="B12" s="12" t="n">
        <f aca="false">SUMIF(Analysis!$B$5:$B$100,A12,Analysis!$D$5:$D$100)</f>
        <v>72000</v>
      </c>
      <c r="C12" s="12" t="n">
        <f aca="false">SUMIF(Analysis!$B$5:$B$100,A12,Analysis!$E$5:$E$100)</f>
        <v>72100</v>
      </c>
      <c r="D12" s="12" t="n">
        <f aca="false">C12-B12</f>
        <v>100</v>
      </c>
      <c r="E12" s="13" t="n">
        <f aca="false">IFERROR(D12/B12,0)</f>
        <v>0.00138888888888889</v>
      </c>
      <c r="F12" s="14" t="str">
        <f aca="false">IF(E12&gt;0.05,"Over Budget",IF(E12&lt;-0.05,"Under Budget","On Track"))</f>
        <v>On Track</v>
      </c>
    </row>
    <row r="13" customFormat="false" ht="15" hidden="false" customHeight="false" outlineLevel="0" collapsed="false">
      <c r="A13" s="11" t="s">
        <v>26</v>
      </c>
      <c r="B13" s="12" t="n">
        <f aca="false">SUMIF(Analysis!$B$5:$B$100,A13,Analysis!$D$5:$D$100)</f>
        <v>84000</v>
      </c>
      <c r="C13" s="12" t="n">
        <f aca="false">SUMIF(Analysis!$B$5:$B$100,A13,Analysis!$E$5:$E$100)</f>
        <v>88250</v>
      </c>
      <c r="D13" s="12" t="n">
        <f aca="false">C13-B13</f>
        <v>4250</v>
      </c>
      <c r="E13" s="13" t="n">
        <f aca="false">IFERROR(D13/B13,0)</f>
        <v>0.0505952380952381</v>
      </c>
      <c r="F13" s="14" t="str">
        <f aca="false">IF(E13&gt;0.05,"Over Budget",IF(E13&lt;-0.05,"Under Budget","On Track"))</f>
        <v>Over Budget</v>
      </c>
    </row>
    <row r="14" customFormat="false" ht="15" hidden="false" customHeight="false" outlineLevel="0" collapsed="false">
      <c r="A14" s="15" t="s">
        <v>42</v>
      </c>
      <c r="B14" s="16" t="n">
        <f aca="false">SUM(B6:B13)</f>
        <v>840000</v>
      </c>
      <c r="C14" s="16" t="n">
        <f aca="false">SUM(C6:C13)</f>
        <v>851000</v>
      </c>
      <c r="D14" s="16" t="n">
        <f aca="false">C14-B14</f>
        <v>11000</v>
      </c>
      <c r="E14" s="17" t="n">
        <f aca="false">IFERROR(D14/B14,0)</f>
        <v>0.0130952380952381</v>
      </c>
      <c r="F14" s="18" t="str">
        <f aca="false">IF(E14&gt;0.05,"Over Budget",IF(E14&lt;-0.05,"Under Budget","On Track"))</f>
        <v>On Track</v>
      </c>
    </row>
    <row r="17" customFormat="false" ht="15" hidden="false" customHeight="false" outlineLevel="0" collapsed="false">
      <c r="A17" s="4" t="s">
        <v>43</v>
      </c>
    </row>
    <row r="18" customFormat="false" ht="15" hidden="false" customHeight="false" outlineLevel="0" collapsed="false">
      <c r="A18" s="3" t="s">
        <v>2</v>
      </c>
      <c r="B18" s="3" t="s">
        <v>40</v>
      </c>
      <c r="C18" s="3" t="s">
        <v>41</v>
      </c>
    </row>
    <row r="19" customFormat="false" ht="15" hidden="false" customHeight="false" outlineLevel="0" collapsed="false">
      <c r="A19" s="11" t="s">
        <v>9</v>
      </c>
      <c r="B19" s="12" t="n">
        <f aca="false">SUMIF(Analysis!$A$5:$A$100,A19,Analysis!$D$5:$D$100)</f>
        <v>70000</v>
      </c>
      <c r="C19" s="12" t="n">
        <f aca="false">SUMIF(Analysis!$A$5:$A$100,A19,Analysis!$E$5:$E$100)</f>
        <v>68510</v>
      </c>
    </row>
    <row r="20" customFormat="false" ht="15" hidden="false" customHeight="false" outlineLevel="0" collapsed="false">
      <c r="A20" s="11" t="s">
        <v>12</v>
      </c>
      <c r="B20" s="12" t="n">
        <f aca="false">SUMIF(Analysis!$A$5:$A$100,A20,Analysis!$D$5:$D$100)</f>
        <v>70000</v>
      </c>
      <c r="C20" s="12" t="n">
        <f aca="false">SUMIF(Analysis!$A$5:$A$100,A20,Analysis!$E$5:$E$100)</f>
        <v>68830</v>
      </c>
    </row>
    <row r="21" customFormat="false" ht="15" hidden="false" customHeight="false" outlineLevel="0" collapsed="false">
      <c r="A21" s="11" t="s">
        <v>13</v>
      </c>
      <c r="B21" s="12" t="n">
        <f aca="false">SUMIF(Analysis!$A$5:$A$100,A21,Analysis!$D$5:$D$100)</f>
        <v>70000</v>
      </c>
      <c r="C21" s="12" t="n">
        <f aca="false">SUMIF(Analysis!$A$5:$A$100,A21,Analysis!$E$5:$E$100)</f>
        <v>70640</v>
      </c>
    </row>
    <row r="22" customFormat="false" ht="15" hidden="false" customHeight="false" outlineLevel="0" collapsed="false">
      <c r="A22" s="11" t="s">
        <v>15</v>
      </c>
      <c r="B22" s="12" t="n">
        <f aca="false">SUMIF(Analysis!$A$5:$A$100,A22,Analysis!$D$5:$D$100)</f>
        <v>70000</v>
      </c>
      <c r="C22" s="12" t="n">
        <f aca="false">SUMIF(Analysis!$A$5:$A$100,A22,Analysis!$E$5:$E$100)</f>
        <v>73410</v>
      </c>
    </row>
    <row r="23" customFormat="false" ht="15" hidden="false" customHeight="false" outlineLevel="0" collapsed="false">
      <c r="A23" s="11" t="s">
        <v>17</v>
      </c>
      <c r="B23" s="12" t="n">
        <f aca="false">SUMIF(Analysis!$A$5:$A$100,A23,Analysis!$D$5:$D$100)</f>
        <v>70000</v>
      </c>
      <c r="C23" s="12" t="n">
        <f aca="false">SUMIF(Analysis!$A$5:$A$100,A23,Analysis!$E$5:$E$100)</f>
        <v>73940</v>
      </c>
    </row>
    <row r="24" customFormat="false" ht="15" hidden="false" customHeight="false" outlineLevel="0" collapsed="false">
      <c r="A24" s="11" t="s">
        <v>19</v>
      </c>
      <c r="B24" s="12" t="n">
        <f aca="false">SUMIF(Analysis!$A$5:$A$100,A24,Analysis!$D$5:$D$100)</f>
        <v>70000</v>
      </c>
      <c r="C24" s="12" t="n">
        <f aca="false">SUMIF(Analysis!$A$5:$A$100,A24,Analysis!$E$5:$E$100)</f>
        <v>70360</v>
      </c>
    </row>
    <row r="25" customFormat="false" ht="15" hidden="false" customHeight="false" outlineLevel="0" collapsed="false">
      <c r="A25" s="11" t="s">
        <v>21</v>
      </c>
      <c r="B25" s="12" t="n">
        <f aca="false">SUMIF(Analysis!$A$5:$A$100,A25,Analysis!$D$5:$D$100)</f>
        <v>70000</v>
      </c>
      <c r="C25" s="12" t="n">
        <f aca="false">SUMIF(Analysis!$A$5:$A$100,A25,Analysis!$E$5:$E$100)</f>
        <v>68890</v>
      </c>
    </row>
    <row r="26" customFormat="false" ht="15" hidden="false" customHeight="false" outlineLevel="0" collapsed="false">
      <c r="A26" s="11" t="s">
        <v>23</v>
      </c>
      <c r="B26" s="12" t="n">
        <f aca="false">SUMIF(Analysis!$A$5:$A$100,A26,Analysis!$D$5:$D$100)</f>
        <v>70000</v>
      </c>
      <c r="C26" s="12" t="n">
        <f aca="false">SUMIF(Analysis!$A$5:$A$100,A26,Analysis!$E$5:$E$100)</f>
        <v>73270</v>
      </c>
    </row>
    <row r="27" customFormat="false" ht="15" hidden="false" customHeight="false" outlineLevel="0" collapsed="false">
      <c r="A27" s="11" t="s">
        <v>25</v>
      </c>
      <c r="B27" s="12" t="n">
        <f aca="false">SUMIF(Analysis!$A$5:$A$100,A27,Analysis!$D$5:$D$100)</f>
        <v>70000</v>
      </c>
      <c r="C27" s="12" t="n">
        <f aca="false">SUMIF(Analysis!$A$5:$A$100,A27,Analysis!$E$5:$E$100)</f>
        <v>71710</v>
      </c>
    </row>
    <row r="28" customFormat="false" ht="15" hidden="false" customHeight="false" outlineLevel="0" collapsed="false">
      <c r="A28" s="11" t="s">
        <v>27</v>
      </c>
      <c r="B28" s="12" t="n">
        <f aca="false">SUMIF(Analysis!$A$5:$A$100,A28,Analysis!$D$5:$D$100)</f>
        <v>70000</v>
      </c>
      <c r="C28" s="12" t="n">
        <f aca="false">SUMIF(Analysis!$A$5:$A$100,A28,Analysis!$E$5:$E$100)</f>
        <v>70250</v>
      </c>
    </row>
    <row r="29" customFormat="false" ht="15" hidden="false" customHeight="false" outlineLevel="0" collapsed="false">
      <c r="A29" s="11" t="s">
        <v>28</v>
      </c>
      <c r="B29" s="12" t="n">
        <f aca="false">SUMIF(Analysis!$A$5:$A$100,A29,Analysis!$D$5:$D$100)</f>
        <v>70000</v>
      </c>
      <c r="C29" s="12" t="n">
        <f aca="false">SUMIF(Analysis!$A$5:$A$100,A29,Analysis!$E$5:$E$100)</f>
        <v>69550</v>
      </c>
    </row>
    <row r="30" customFormat="false" ht="15" hidden="false" customHeight="false" outlineLevel="0" collapsed="false">
      <c r="A30" s="11" t="s">
        <v>29</v>
      </c>
      <c r="B30" s="12" t="n">
        <f aca="false">SUMIF(Analysis!$A$5:$A$100,A30,Analysis!$D$5:$D$100)</f>
        <v>70000</v>
      </c>
      <c r="C30" s="12" t="n">
        <f aca="false">SUMIF(Analysis!$A$5:$A$100,A30,Analysis!$E$5:$E$100)</f>
        <v>71640</v>
      </c>
    </row>
  </sheetData>
  <conditionalFormatting sqref="E6:E13">
    <cfRule type="colorScale" priority="2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conditionalFormatting sqref="F6:F13">
    <cfRule type="cellIs" priority="3" operator="equal" aboveAverage="0" equalAverage="0" bottom="0" percent="0" rank="0" text="" dxfId="89">
      <formula>"Over Budget"</formula>
    </cfRule>
    <cfRule type="cellIs" priority="4" operator="equal" aboveAverage="0" equalAverage="0" bottom="0" percent="0" rank="0" text="" dxfId="90">
      <formula>"Under Budget"</formula>
    </cfRule>
    <cfRule type="cellIs" priority="5" operator="equal" aboveAverage="0" equalAverage="0" bottom="0" percent="0" rank="0" text="" dxfId="91">
      <formula>"On Track"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2026-07-21T11:52:03Z</dcterms:created>
  <dc:creator>openpyxl</dc:creator>
  <dc:description/>
  <dc:language>en-US</dc:language>
  <cp:lastModifiedBy/>
  <dcterms:modified xsi:type="dcterms:W3CDTF">2026-07-21T11:52:40Z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